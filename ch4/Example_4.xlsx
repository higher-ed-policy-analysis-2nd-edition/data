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09290408fa44f9b/Documents/GitHub/data/ch4/"/>
    </mc:Choice>
  </mc:AlternateContent>
  <xr:revisionPtr revIDLastSave="0" documentId="8_{F2BDD4E8-A04A-44AE-A799-71DCE998E7FF}" xr6:coauthVersionLast="47" xr6:coauthVersionMax="47" xr10:uidLastSave="{00000000-0000-0000-0000-000000000000}"/>
  <bookViews>
    <workbookView xWindow="-120" yWindow="-120" windowWidth="29040" windowHeight="15720" xr2:uid="{F055CAFE-45C1-4958-B757-F5AE5117CC53}"/>
  </bookViews>
  <sheets>
    <sheet name="Digest 2017 Table 305.20" sheetId="1" r:id="rId1"/>
    <sheet name="First-time" sheetId="4" r:id="rId2"/>
    <sheet name="Digest 2018 Table 219.20" sheetId="5" r:id="rId3"/>
    <sheet name="HSGrad" sheetId="6" r:id="rId4"/>
  </sheets>
  <definedNames>
    <definedName name="_Fill" localSheetId="1" hidden="1">'First-time'!$B$2</definedName>
    <definedName name="_Fill" hidden="1">'Digest 2017 Table 305.20'!$A$7</definedName>
    <definedName name="_Regression_Int" localSheetId="0" hidden="1">1</definedName>
    <definedName name="_Regression_Int" localSheetId="2" hidden="1">1</definedName>
    <definedName name="_Regression_Int" localSheetId="1" hidden="1">1</definedName>
    <definedName name="_Regression_Int" localSheetId="3" hidden="1">1</definedName>
    <definedName name="FORMS">#N/A</definedName>
    <definedName name="_xlnm.Print_Area" localSheetId="0">'Digest 2017 Table 305.20'!$A$1:$O$82</definedName>
    <definedName name="_xlnm.Print_Area" localSheetId="2">'Digest 2018 Table 219.20'!$A$1:$Z$91</definedName>
    <definedName name="_xlnm.Print_Area" localSheetId="1">'First-time'!$B$1:$G$52</definedName>
    <definedName name="_xlnm.Print_Area" localSheetId="3">HSGrad!$B$1:$G$51</definedName>
    <definedName name="_xlnm.Print_Area">#N/A</definedName>
    <definedName name="Print_Area_MI" localSheetId="0">'Digest 2017 Table 305.20'!$A$1:$O$82</definedName>
    <definedName name="Print_Area_MI" localSheetId="2">'Digest 2018 Table 219.20'!$A$1:$Z$91</definedName>
    <definedName name="Print_Area_MI" localSheetId="1">'First-time'!$B$1:$G$52</definedName>
    <definedName name="Print_Area_MI" localSheetId="3">HSGrad!$B$1:$G$51</definedName>
    <definedName name="PRINT_AREA_MI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</calcChain>
</file>

<file path=xl/sharedStrings.xml><?xml version="1.0" encoding="utf-8"?>
<sst xmlns="http://schemas.openxmlformats.org/spreadsheetml/2006/main" count="522" uniqueCount="249">
  <si>
    <t xml:space="preserve">Table 305.20. Total fall enrollment of first-time degree/certificate-seeking students in degree-granting postsecondary institutions, by attendance status, sex 
              of student, control of institution, and state or jurisdiction: Selected years, 2000 through 2016    </t>
  </si>
  <si>
    <t>State or jurisdiction</t>
  </si>
  <si>
    <t>Total, fall 2000</t>
  </si>
  <si>
    <t>Total, fall 2010</t>
  </si>
  <si>
    <t>Total, fall 2013</t>
  </si>
  <si>
    <t>Total, fall 2014</t>
  </si>
  <si>
    <t>Total, fall 2015</t>
  </si>
  <si>
    <t>Fall 2016</t>
  </si>
  <si>
    <t>Total</t>
  </si>
  <si>
    <t>Full-time</t>
  </si>
  <si>
    <t>Part-time</t>
  </si>
  <si>
    <t>Public</t>
  </si>
  <si>
    <t>Private</t>
  </si>
  <si>
    <t>Males</t>
  </si>
  <si>
    <t>Females</t>
  </si>
  <si>
    <t xml:space="preserve">   United States ...............</t>
  </si>
  <si>
    <t>Alabama .......................</t>
  </si>
  <si>
    <t>Alaska .........................</t>
  </si>
  <si>
    <t>Arizona ......................</t>
  </si>
  <si>
    <t>Arkansas ........................</t>
  </si>
  <si>
    <t>California ......................</t>
  </si>
  <si>
    <t>Colorado .......................</t>
  </si>
  <si>
    <t>Connecticut .....................</t>
  </si>
  <si>
    <t>Delaware .......................</t>
  </si>
  <si>
    <t>District of Columbia ...........</t>
  </si>
  <si>
    <t>Florida ........................</t>
  </si>
  <si>
    <t>Georgia ........................</t>
  </si>
  <si>
    <t>Hawaii ...........................</t>
  </si>
  <si>
    <t>Idaho ........................</t>
  </si>
  <si>
    <t>Illinois .........................</t>
  </si>
  <si>
    <t>Indiana ..........................</t>
  </si>
  <si>
    <t>Iowa ............................</t>
  </si>
  <si>
    <t>Kansas ...........................</t>
  </si>
  <si>
    <t>Kentucky .........................</t>
  </si>
  <si>
    <t>Louisiana .......................</t>
  </si>
  <si>
    <t>Maine ...........................</t>
  </si>
  <si>
    <t>Maryland ........................</t>
  </si>
  <si>
    <t>Massachusetts ...................</t>
  </si>
  <si>
    <t>Michigan .....................</t>
  </si>
  <si>
    <t>Minnesota ...................</t>
  </si>
  <si>
    <t>Mississippi .....................</t>
  </si>
  <si>
    <t>Missouri ........................</t>
  </si>
  <si>
    <t>Montana ........................</t>
  </si>
  <si>
    <t>Nebraska ........................</t>
  </si>
  <si>
    <t>Nevada ..........................</t>
  </si>
  <si>
    <t>New Hampshire ..................</t>
  </si>
  <si>
    <t>New Jersey .......................</t>
  </si>
  <si>
    <t>New Mexico ......................</t>
  </si>
  <si>
    <t>New York ........................</t>
  </si>
  <si>
    <t>North Carolina .................</t>
  </si>
  <si>
    <t>North Dakota ....................</t>
  </si>
  <si>
    <t>Ohio .............................</t>
  </si>
  <si>
    <t>Oklahoma ........................</t>
  </si>
  <si>
    <t>Oregon ...........................</t>
  </si>
  <si>
    <t>Pennsylvania .......................</t>
  </si>
  <si>
    <t>Rhode Island .....................</t>
  </si>
  <si>
    <t>South Carolina ...................</t>
  </si>
  <si>
    <t>South Dakota ....................</t>
  </si>
  <si>
    <t>Tennessee .....................</t>
  </si>
  <si>
    <t>Texas ..........................</t>
  </si>
  <si>
    <t>Utah ...........................</t>
  </si>
  <si>
    <t>Vermont .........................</t>
  </si>
  <si>
    <t>Virginia .........................</t>
  </si>
  <si>
    <t>Washington .......................</t>
  </si>
  <si>
    <t>West Virginia ...................</t>
  </si>
  <si>
    <t>Wisconsin ......................</t>
  </si>
  <si>
    <t>Wyoming .........................</t>
  </si>
  <si>
    <t>U.S. Service Academies .................</t>
  </si>
  <si>
    <t>†</t>
  </si>
  <si>
    <t xml:space="preserve">   Other jurisdictions ..........</t>
  </si>
  <si>
    <t>American Samoa ...........</t>
  </si>
  <si>
    <t>Federated States of
   Micronesia ..........</t>
  </si>
  <si>
    <t>Guam .....................</t>
  </si>
  <si>
    <t>Marshall Islands ........</t>
  </si>
  <si>
    <t>Northern Marianas ............</t>
  </si>
  <si>
    <t>Palau ...................</t>
  </si>
  <si>
    <t>Puerto Rico ...................</t>
  </si>
  <si>
    <t>U.S. Virgin Islands .......................</t>
  </si>
  <si>
    <t>†Not applicable.</t>
  </si>
  <si>
    <t>NOTE: Degree-granting institutions grant associate’s or higher degrees and participate in Title IV federal financial aid programs. Some data have been revised from previously published figures.</t>
  </si>
  <si>
    <t xml:space="preserve">SOURCE: U.S. Department of Education, National Center for Education Statistics, Integrated Postsecondary Education Data System (IPEDS), Spring 2001 through Spring 2017, Fall Enrollment component. (This table was prepared March 2018.)   </t>
  </si>
  <si>
    <t>State</t>
  </si>
  <si>
    <t>id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</si>
  <si>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</si>
  <si>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</si>
  <si>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</si>
  <si>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</si>
  <si>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</si>
  <si>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</si>
  <si>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</si>
  <si>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</si>
  <si>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</si>
  <si>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</si>
  <si>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</si>
  <si>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</si>
  <si>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</si>
  <si>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</si>
  <si>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</si>
  <si>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</si>
  <si>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</si>
  <si>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</si>
  <si>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</si>
  <si>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</si>
  <si>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</si>
  <si>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</si>
  <si>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</si>
  <si>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</si>
  <si>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</si>
  <si>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</si>
  <si>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</si>
  <si>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</si>
  <si>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</si>
  <si>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</si>
  <si>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</si>
  <si>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</si>
  <si>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</si>
  <si>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</si>
  <si>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</si>
  <si>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</si>
  <si>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</si>
  <si>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</si>
  <si>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</si>
  <si>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</si>
  <si>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</si>
  <si>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</si>
  <si>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</si>
  <si>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</si>
  <si>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</si>
  <si>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</si>
  <si>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</si>
  <si>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</si>
  <si>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</si>
  <si>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</si>
  <si>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FirsTim2000</t>
  </si>
  <si>
    <t>FirsTim2010</t>
  </si>
  <si>
    <t>FirsTim2013</t>
  </si>
  <si>
    <t>FirsTim2014</t>
  </si>
  <si>
    <t>FirsTim2015</t>
  </si>
  <si>
    <t>Table 219.20. Public high school graduates, by region, state, and jurisdiction: Selected years, 1980-81 through 2028-29</t>
  </si>
  <si>
    <t>Region, state, and jurisdiction</t>
  </si>
  <si>
    <t>Actual data</t>
  </si>
  <si>
    <t>Projected data</t>
  </si>
  <si>
    <t>1980-81</t>
  </si>
  <si>
    <t>1989-90</t>
  </si>
  <si>
    <t>1999-2000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</si>
  <si>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</si>
  <si>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</si>
  <si>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</si>
  <si>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</si>
  <si>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</si>
  <si>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</si>
  <si>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</si>
  <si>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</si>
  <si>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</si>
  <si>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</si>
  <si>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</si>
  <si>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</si>
  <si>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</si>
  <si>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</si>
  <si>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</si>
  <si>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</si>
  <si>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</si>
  <si>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</si>
  <si>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</si>
  <si>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</si>
  <si>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Percent
change,
2012-13 to 
2028-29</t>
  </si>
  <si>
    <t xml:space="preserve">   United States .........</t>
  </si>
  <si>
    <t>\1\</t>
  </si>
  <si>
    <t>Region</t>
  </si>
  <si>
    <t xml:space="preserve">  Northeast .......................</t>
  </si>
  <si>
    <t xml:space="preserve">  Midwest .......................</t>
  </si>
  <si>
    <t xml:space="preserve">  South .......................</t>
  </si>
  <si>
    <t xml:space="preserve">  West .......................</t>
  </si>
  <si>
    <t xml:space="preserve">  Alabama ..................</t>
  </si>
  <si>
    <t xml:space="preserve">  Alaska ...................</t>
  </si>
  <si>
    <t xml:space="preserve">  Arizona ..................</t>
  </si>
  <si>
    <t xml:space="preserve">  Arkansas .................</t>
  </si>
  <si>
    <t xml:space="preserve">  California ...............</t>
  </si>
  <si>
    <t xml:space="preserve"> </t>
  </si>
  <si>
    <t xml:space="preserve">  Colorado .................</t>
  </si>
  <si>
    <t xml:space="preserve">  Connecticut ..............</t>
  </si>
  <si>
    <t xml:space="preserve">  Delaware .................</t>
  </si>
  <si>
    <t xml:space="preserve">  District of Columbia\2\ ..</t>
  </si>
  <si>
    <t xml:space="preserve">  Florida ..................</t>
  </si>
  <si>
    <t xml:space="preserve">  Georgia ..................</t>
  </si>
  <si>
    <t xml:space="preserve">  Hawaii ...................</t>
  </si>
  <si>
    <t xml:space="preserve">  Idaho ....................</t>
  </si>
  <si>
    <t xml:space="preserve">  Illinois .................</t>
  </si>
  <si>
    <t xml:space="preserve">  Indiana ..................</t>
  </si>
  <si>
    <t xml:space="preserve">  Iowa .....................</t>
  </si>
  <si>
    <t xml:space="preserve">  Kansas ...................</t>
  </si>
  <si>
    <t xml:space="preserve">  Kentucky .................</t>
  </si>
  <si>
    <t xml:space="preserve">  Louisiana ................</t>
  </si>
  <si>
    <t xml:space="preserve">  Maine ....................</t>
  </si>
  <si>
    <t xml:space="preserve">  Maryland .................</t>
  </si>
  <si>
    <t xml:space="preserve">  Massachusetts ............</t>
  </si>
  <si>
    <t>\3\</t>
  </si>
  <si>
    <t xml:space="preserve">  Michigan .................</t>
  </si>
  <si>
    <t xml:space="preserve">  Minnesota ................</t>
  </si>
  <si>
    <t xml:space="preserve">  Mississippi ..............</t>
  </si>
  <si>
    <t xml:space="preserve">  Missouri .................</t>
  </si>
  <si>
    <t xml:space="preserve">  Montana ..................</t>
  </si>
  <si>
    <t xml:space="preserve">  Nebraska .................</t>
  </si>
  <si>
    <t xml:space="preserve">  Nevada ...................</t>
  </si>
  <si>
    <t xml:space="preserve">  New Hampshire ............</t>
  </si>
  <si>
    <t xml:space="preserve">  New Jersey ...............</t>
  </si>
  <si>
    <t xml:space="preserve">  New Mexico ...............</t>
  </si>
  <si>
    <t xml:space="preserve">  New York .................</t>
  </si>
  <si>
    <t xml:space="preserve">  North Carolina ...........</t>
  </si>
  <si>
    <t xml:space="preserve">  North Dakota .............</t>
  </si>
  <si>
    <t xml:space="preserve">  Ohio .....................</t>
  </si>
  <si>
    <t xml:space="preserve">  Oklahoma .................</t>
  </si>
  <si>
    <t xml:space="preserve">  Oregon ...................</t>
  </si>
  <si>
    <t xml:space="preserve">  Pennsylvania .............</t>
  </si>
  <si>
    <t xml:space="preserve">  Rhode Island .............</t>
  </si>
  <si>
    <t xml:space="preserve">  South Carolina ...........</t>
  </si>
  <si>
    <t xml:space="preserve">  South Dakota .............</t>
  </si>
  <si>
    <t xml:space="preserve">  Tennessee ................</t>
  </si>
  <si>
    <t xml:space="preserve">  Texas ....................</t>
  </si>
  <si>
    <t xml:space="preserve">  Utah .....................</t>
  </si>
  <si>
    <t xml:space="preserve">  Vermont ..................</t>
  </si>
  <si>
    <t xml:space="preserve">  Virginia .................</t>
  </si>
  <si>
    <t xml:space="preserve">  Washington ...............</t>
  </si>
  <si>
    <t xml:space="preserve">  West Virginia ............</t>
  </si>
  <si>
    <t xml:space="preserve">  Wisconsin ................</t>
  </si>
  <si>
    <t xml:space="preserve">  Wyoming ..................</t>
  </si>
  <si>
    <t>Jurisdiction</t>
  </si>
  <si>
    <t xml:space="preserve">  Bureau of Indian
     Education .........</t>
  </si>
  <si>
    <t>---</t>
  </si>
  <si>
    <t xml:space="preserve">  DoD, overseas ..................</t>
  </si>
  <si>
    <t xml:space="preserve">  DoD, domestic ..................</t>
  </si>
  <si>
    <t xml:space="preserve">  Other jurisdictions</t>
  </si>
  <si>
    <t xml:space="preserve">    American Samoa .................</t>
  </si>
  <si>
    <t xml:space="preserve">      ---</t>
  </si>
  <si>
    <t xml:space="preserve">    Guam ...................</t>
  </si>
  <si>
    <t xml:space="preserve">    Northern Marianas ......</t>
  </si>
  <si>
    <t xml:space="preserve">    Puerto Rico ............</t>
  </si>
  <si>
    <t xml:space="preserve">    U.S. Virgin Islands ............</t>
  </si>
  <si>
    <t xml:space="preserve">---Not available.  </t>
  </si>
  <si>
    <t>\1\U.S. total includes estimates for nonreporting states.</t>
  </si>
  <si>
    <t xml:space="preserve">\2\Beginning in 1989-90, graduates from adult programs are excluded.  </t>
  </si>
  <si>
    <r>
      <t xml:space="preserve">\3\Projected data from NCES 91-490, </t>
    </r>
    <r>
      <rPr>
        <i/>
        <sz val="10"/>
        <rFont val="Courier New"/>
        <family val="3"/>
      </rPr>
      <t>Projections of Education Statistics to 2002</t>
    </r>
    <r>
      <rPr>
        <sz val="10"/>
        <rFont val="Courier New"/>
        <family val="3"/>
      </rPr>
      <t>.</t>
    </r>
  </si>
  <si>
    <t>NOTE: Data include regular diploma recipients, but exclude students receiving a certificate of attendance and persons receiving high school equivalency certificates. DoD = Department of Defense. Some data have been revised from previously published figures. Detail may not sum to totals because of rounding.</t>
  </si>
  <si>
    <t>SOURCE: U.S. Department of Education, National Center for Education Statistics, Common Core of Data (CCD), "State Nonfiscal Survey of Public Elementary/Secondary Education," 1981-82 through 2005-06; "State Dropout and Completion Data File," 2005-06 through 2012-13; and State High School Graduates Projection Model, 1980-81 through 2028-29. (This table was prepared March 2019.)</t>
  </si>
  <si>
    <t>HSGrad2000</t>
  </si>
  <si>
    <t>HSGrad2010</t>
  </si>
  <si>
    <t>HSGrad2013</t>
  </si>
  <si>
    <t>HSGrad2014</t>
  </si>
  <si>
    <t>HSGrad2015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</si>
</sst>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  <font>
      <sz val="10"/>
      <name val="Courier"/>
      <family val="3"/>
    </font>
    <font>
      <sz val="10"/>
      <name val="Courier"/>
    </font>
    <font>
      <i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39" fontId="0" fillId="0" borderId="0"/>
    <xf numFmtId="37" fontId="4" fillId="0" borderId="0"/>
  </cellStyleXfs>
  <cellXfs count="150">
    <xf numFmtId="39" fontId="0" fillId="0" borderId="0" xfId="0"/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horizontal="right" vertical="center"/>
    </xf>
    <xf numFmtId="1" fontId="2" fillId="0" borderId="2" xfId="0" applyNumberFormat="1" applyFont="1" applyFill="1" applyBorder="1" applyAlignment="1" applyProtection="1">
      <alignment horizontal="left" vertical="center"/>
    </xf>
    <xf numFmtId="3" fontId="2" fillId="0" borderId="1" xfId="0" applyNumberFormat="1" applyFont="1" applyFill="1" applyBorder="1" applyAlignment="1">
      <alignment vertical="center"/>
    </xf>
    <xf numFmtId="1" fontId="2" fillId="0" borderId="1" xfId="0" applyNumberFormat="1" applyFont="1" applyFill="1" applyBorder="1" applyAlignment="1" applyProtection="1">
      <alignment horizontal="right" vertical="center"/>
    </xf>
    <xf numFmtId="1" fontId="2" fillId="0" borderId="3" xfId="0" applyNumberFormat="1" applyFont="1" applyFill="1" applyBorder="1" applyAlignment="1" applyProtection="1">
      <alignment horizontal="right" vertical="center"/>
    </xf>
    <xf numFmtId="3" fontId="2" fillId="0" borderId="0" xfId="0" applyNumberFormat="1" applyFont="1" applyFill="1" applyAlignment="1">
      <alignment vertical="center"/>
    </xf>
    <xf numFmtId="3" fontId="1" fillId="0" borderId="4" xfId="0" applyNumberFormat="1" applyFont="1" applyFill="1" applyBorder="1" applyAlignment="1" applyProtection="1">
      <alignment horizontal="left" vertical="center"/>
    </xf>
    <xf numFmtId="3" fontId="1" fillId="0" borderId="1" xfId="0" applyNumberFormat="1" applyFont="1" applyFill="1" applyBorder="1" applyAlignment="1" applyProtection="1">
      <alignment vertical="center"/>
    </xf>
    <xf numFmtId="3" fontId="1" fillId="0" borderId="5" xfId="0" applyNumberFormat="1" applyFont="1" applyFill="1" applyBorder="1" applyAlignment="1" applyProtection="1">
      <alignment vertical="center"/>
    </xf>
    <xf numFmtId="3" fontId="1" fillId="0" borderId="0" xfId="0" applyNumberFormat="1" applyFont="1" applyFill="1" applyAlignment="1">
      <alignment vertical="center"/>
    </xf>
    <xf numFmtId="3" fontId="2" fillId="0" borderId="4" xfId="0" applyNumberFormat="1" applyFont="1" applyFill="1" applyBorder="1" applyAlignment="1" applyProtection="1">
      <alignment horizontal="left" vertical="center"/>
    </xf>
    <xf numFmtId="3" fontId="2" fillId="0" borderId="6" xfId="0" applyNumberFormat="1" applyFont="1" applyFill="1" applyBorder="1" applyAlignment="1" applyProtection="1">
      <alignment vertical="center"/>
    </xf>
    <xf numFmtId="3" fontId="2" fillId="0" borderId="6" xfId="0" applyNumberFormat="1" applyFont="1" applyFill="1" applyBorder="1" applyAlignment="1" applyProtection="1">
      <alignment horizontal="right" vertical="center"/>
    </xf>
    <xf numFmtId="3" fontId="2" fillId="0" borderId="7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>
      <alignment vertical="center"/>
    </xf>
    <xf numFmtId="3" fontId="1" fillId="0" borderId="8" xfId="0" applyNumberFormat="1" applyFont="1" applyFill="1" applyBorder="1" applyAlignment="1" applyProtection="1">
      <alignment vertical="center"/>
    </xf>
    <xf numFmtId="3" fontId="1" fillId="0" borderId="8" xfId="0" applyNumberFormat="1" applyFont="1" applyFill="1" applyBorder="1" applyAlignment="1" applyProtection="1">
      <alignment horizontal="right" vertical="center"/>
    </xf>
    <xf numFmtId="3" fontId="1" fillId="0" borderId="9" xfId="0" applyNumberFormat="1" applyFont="1" applyFill="1" applyBorder="1" applyAlignment="1" applyProtection="1">
      <alignment horizontal="right" vertical="center"/>
    </xf>
    <xf numFmtId="3" fontId="2" fillId="0" borderId="4" xfId="0" applyNumberFormat="1" applyFont="1" applyFill="1" applyBorder="1" applyAlignment="1" applyProtection="1">
      <alignment horizontal="left" vertical="center" wrapText="1"/>
    </xf>
    <xf numFmtId="3" fontId="2" fillId="0" borderId="6" xfId="0" applyNumberFormat="1" applyFont="1" applyFill="1" applyBorder="1" applyAlignment="1" applyProtection="1"/>
    <xf numFmtId="3" fontId="2" fillId="0" borderId="6" xfId="0" applyNumberFormat="1" applyFont="1" applyFill="1" applyBorder="1" applyAlignment="1" applyProtection="1">
      <alignment horizontal="right"/>
    </xf>
    <xf numFmtId="3" fontId="2" fillId="0" borderId="7" xfId="0" applyNumberFormat="1" applyFont="1" applyFill="1" applyBorder="1" applyAlignment="1" applyProtection="1">
      <alignment horizontal="right"/>
    </xf>
    <xf numFmtId="3" fontId="2" fillId="0" borderId="10" xfId="0" applyNumberFormat="1" applyFont="1" applyFill="1" applyBorder="1" applyAlignment="1" applyProtection="1">
      <alignment horizontal="left" vertical="center"/>
    </xf>
    <xf numFmtId="3" fontId="2" fillId="0" borderId="11" xfId="0" applyNumberFormat="1" applyFont="1" applyFill="1" applyBorder="1" applyAlignment="1" applyProtection="1">
      <alignment vertical="center"/>
    </xf>
    <xf numFmtId="3" fontId="2" fillId="0" borderId="11" xfId="0" applyNumberFormat="1" applyFont="1" applyFill="1" applyBorder="1" applyAlignment="1" applyProtection="1">
      <alignment horizontal="right" vertical="center"/>
    </xf>
    <xf numFmtId="3" fontId="2" fillId="0" borderId="12" xfId="0" applyNumberFormat="1" applyFont="1" applyFill="1" applyBorder="1" applyAlignment="1" applyProtection="1">
      <alignment horizontal="right" vertical="center"/>
    </xf>
    <xf numFmtId="3" fontId="2" fillId="0" borderId="0" xfId="0" applyNumberFormat="1" applyFont="1" applyFill="1" applyAlignment="1" applyProtection="1">
      <alignment horizontal="left" vertical="center"/>
    </xf>
    <xf numFmtId="3" fontId="2" fillId="0" borderId="0" xfId="0" applyNumberFormat="1" applyFont="1" applyFill="1" applyProtection="1"/>
    <xf numFmtId="3" fontId="2" fillId="0" borderId="0" xfId="0" applyNumberFormat="1" applyFont="1" applyFill="1" applyBorder="1" applyAlignment="1" applyProtection="1">
      <alignment horizontal="left" wrapText="1"/>
    </xf>
    <xf numFmtId="1" fontId="2" fillId="0" borderId="0" xfId="0" applyNumberFormat="1" applyFont="1" applyFill="1" applyBorder="1" applyAlignment="1" applyProtection="1">
      <alignment horizontal="right" wrapText="1"/>
    </xf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Fill="1" applyBorder="1" applyAlignment="1" applyProtection="1">
      <alignment horizontal="right" vertical="center"/>
    </xf>
    <xf numFmtId="3" fontId="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Border="1" applyAlignment="1" applyProtection="1">
      <alignment horizontal="left" vertical="center"/>
    </xf>
    <xf numFmtId="37" fontId="1" fillId="0" borderId="0" xfId="1" applyFont="1" applyFill="1"/>
    <xf numFmtId="37" fontId="2" fillId="0" borderId="2" xfId="1" applyFont="1" applyFill="1" applyBorder="1" applyAlignment="1" applyProtection="1">
      <alignment horizontal="right"/>
    </xf>
    <xf numFmtId="37" fontId="2" fillId="0" borderId="1" xfId="1" applyFont="1" applyFill="1" applyBorder="1" applyAlignment="1" applyProtection="1">
      <alignment horizontal="right"/>
    </xf>
    <xf numFmtId="37" fontId="2" fillId="0" borderId="5" xfId="1" applyFont="1" applyFill="1" applyBorder="1" applyAlignment="1">
      <alignment horizontal="right" vertical="center" wrapText="1"/>
    </xf>
    <xf numFmtId="37" fontId="2" fillId="0" borderId="0" xfId="1" applyFont="1" applyFill="1"/>
    <xf numFmtId="37" fontId="2" fillId="0" borderId="10" xfId="1" applyFont="1" applyFill="1" applyBorder="1" applyAlignment="1" applyProtection="1">
      <alignment horizontal="left" vertical="center"/>
    </xf>
    <xf numFmtId="3" fontId="2" fillId="0" borderId="10" xfId="1" quotePrefix="1" applyNumberFormat="1" applyFont="1" applyFill="1" applyBorder="1" applyAlignment="1" applyProtection="1">
      <alignment horizontal="right" vertical="center"/>
    </xf>
    <xf numFmtId="3" fontId="2" fillId="0" borderId="2" xfId="1" applyNumberFormat="1" applyFont="1" applyFill="1" applyBorder="1" applyAlignment="1" applyProtection="1">
      <alignment horizontal="right" vertical="center"/>
    </xf>
    <xf numFmtId="3" fontId="2" fillId="0" borderId="10" xfId="1" applyNumberFormat="1" applyFont="1" applyFill="1" applyBorder="1" applyAlignment="1" applyProtection="1">
      <alignment horizontal="right" vertical="center"/>
    </xf>
    <xf numFmtId="3" fontId="2" fillId="0" borderId="1" xfId="1" applyNumberFormat="1" applyFont="1" applyFill="1" applyBorder="1" applyAlignment="1" applyProtection="1">
      <alignment horizontal="right" vertical="center"/>
    </xf>
    <xf numFmtId="3" fontId="2" fillId="0" borderId="11" xfId="1" applyNumberFormat="1" applyFont="1" applyFill="1" applyBorder="1" applyAlignment="1" applyProtection="1">
      <alignment horizontal="right" vertical="center"/>
    </xf>
    <xf numFmtId="3" fontId="2" fillId="0" borderId="13" xfId="1" applyNumberFormat="1" applyFont="1" applyFill="1" applyBorder="1" applyAlignment="1" applyProtection="1">
      <alignment horizontal="right" vertical="center"/>
    </xf>
    <xf numFmtId="37" fontId="2" fillId="0" borderId="0" xfId="1" applyFont="1" applyFill="1" applyAlignment="1">
      <alignment vertical="center"/>
    </xf>
    <xf numFmtId="37" fontId="1" fillId="0" borderId="4" xfId="1" applyFont="1" applyFill="1" applyBorder="1" applyAlignment="1" applyProtection="1">
      <alignment horizontal="left" vertical="center"/>
    </xf>
    <xf numFmtId="3" fontId="1" fillId="0" borderId="1" xfId="1" applyNumberFormat="1" applyFont="1" applyFill="1" applyBorder="1" applyAlignment="1" applyProtection="1">
      <alignment vertical="center"/>
    </xf>
    <xf numFmtId="3" fontId="1" fillId="0" borderId="5" xfId="1" applyNumberFormat="1" applyFont="1" applyFill="1" applyBorder="1" applyAlignment="1" applyProtection="1">
      <alignment vertical="center"/>
    </xf>
    <xf numFmtId="3" fontId="1" fillId="0" borderId="2" xfId="1" applyNumberFormat="1" applyFont="1" applyFill="1" applyBorder="1" applyAlignment="1" applyProtection="1">
      <alignment vertical="center"/>
    </xf>
    <xf numFmtId="164" fontId="1" fillId="0" borderId="3" xfId="1" applyNumberFormat="1" applyFont="1" applyFill="1" applyBorder="1" applyAlignment="1" applyProtection="1">
      <alignment vertical="center"/>
    </xf>
    <xf numFmtId="37" fontId="1" fillId="0" borderId="0" xfId="1" applyFont="1" applyFill="1" applyAlignment="1">
      <alignment vertical="center"/>
    </xf>
    <xf numFmtId="3" fontId="1" fillId="0" borderId="4" xfId="1" applyNumberFormat="1" applyFont="1" applyFill="1" applyBorder="1" applyAlignment="1" applyProtection="1">
      <alignment vertical="center"/>
    </xf>
    <xf numFmtId="3" fontId="1" fillId="0" borderId="7" xfId="1" applyNumberFormat="1" applyFont="1" applyFill="1" applyBorder="1" applyAlignment="1" applyProtection="1">
      <alignment vertical="center"/>
    </xf>
    <xf numFmtId="3" fontId="1" fillId="0" borderId="6" xfId="1" applyNumberFormat="1" applyFont="1" applyFill="1" applyBorder="1" applyAlignment="1" applyProtection="1">
      <alignment vertical="center"/>
    </xf>
    <xf numFmtId="164" fontId="1" fillId="0" borderId="0" xfId="1" applyNumberFormat="1" applyFont="1" applyFill="1" applyBorder="1" applyAlignment="1" applyProtection="1">
      <alignment vertical="center"/>
    </xf>
    <xf numFmtId="37" fontId="2" fillId="0" borderId="4" xfId="1" applyFont="1" applyFill="1" applyBorder="1" applyAlignment="1" applyProtection="1">
      <alignment horizontal="left" vertical="center"/>
    </xf>
    <xf numFmtId="3" fontId="2" fillId="0" borderId="6" xfId="1" applyNumberFormat="1" applyFont="1" applyFill="1" applyBorder="1" applyAlignment="1" applyProtection="1">
      <alignment vertical="center"/>
    </xf>
    <xf numFmtId="3" fontId="2" fillId="0" borderId="7" xfId="1" applyNumberFormat="1" applyFont="1" applyFill="1" applyBorder="1" applyAlignment="1" applyProtection="1">
      <alignment vertical="center"/>
    </xf>
    <xf numFmtId="164" fontId="2" fillId="0" borderId="0" xfId="1" applyNumberFormat="1" applyFont="1" applyFill="1" applyBorder="1" applyAlignment="1" applyProtection="1">
      <alignment vertical="center"/>
    </xf>
    <xf numFmtId="3" fontId="2" fillId="0" borderId="4" xfId="1" applyNumberFormat="1" applyFont="1" applyFill="1" applyBorder="1" applyAlignment="1" applyProtection="1">
      <alignment vertical="center"/>
    </xf>
    <xf numFmtId="37" fontId="2" fillId="0" borderId="4" xfId="1" applyFont="1" applyFill="1" applyBorder="1" applyAlignment="1">
      <alignment vertical="center"/>
    </xf>
    <xf numFmtId="3" fontId="2" fillId="0" borderId="7" xfId="1" applyNumberFormat="1" applyFont="1" applyFill="1" applyBorder="1" applyAlignment="1" applyProtection="1">
      <alignment horizontal="left" vertical="center"/>
    </xf>
    <xf numFmtId="3" fontId="2" fillId="0" borderId="4" xfId="1" applyNumberFormat="1" applyFont="1" applyFill="1" applyBorder="1" applyAlignment="1" applyProtection="1">
      <alignment horizontal="left" vertical="center"/>
    </xf>
    <xf numFmtId="3" fontId="2" fillId="0" borderId="6" xfId="1" applyNumberFormat="1" applyFont="1" applyFill="1" applyBorder="1" applyAlignment="1" applyProtection="1">
      <alignment horizontal="left" vertical="center"/>
    </xf>
    <xf numFmtId="3" fontId="2" fillId="0" borderId="7" xfId="1" applyNumberFormat="1" applyFont="1" applyFill="1" applyBorder="1" applyAlignment="1" applyProtection="1">
      <alignment horizontal="right" vertical="center"/>
    </xf>
    <xf numFmtId="3" fontId="2" fillId="0" borderId="4" xfId="1" applyNumberFormat="1" applyFont="1" applyFill="1" applyBorder="1" applyAlignment="1" applyProtection="1">
      <alignment horizontal="right" vertical="center"/>
    </xf>
    <xf numFmtId="3" fontId="2" fillId="0" borderId="17" xfId="1" applyNumberFormat="1" applyFont="1" applyFill="1" applyBorder="1" applyAlignment="1" applyProtection="1">
      <alignment vertical="center"/>
    </xf>
    <xf numFmtId="3" fontId="2" fillId="0" borderId="18" xfId="1" applyNumberFormat="1" applyFont="1" applyFill="1" applyBorder="1" applyAlignment="1" applyProtection="1">
      <alignment vertical="center"/>
    </xf>
    <xf numFmtId="3" fontId="2" fillId="0" borderId="19" xfId="1" applyNumberFormat="1" applyFont="1" applyFill="1" applyBorder="1" applyAlignment="1" applyProtection="1">
      <alignment vertical="center"/>
    </xf>
    <xf numFmtId="164" fontId="2" fillId="0" borderId="20" xfId="1" applyNumberFormat="1" applyFont="1" applyFill="1" applyBorder="1" applyAlignment="1" applyProtection="1">
      <alignment vertical="center"/>
    </xf>
    <xf numFmtId="3" fontId="2" fillId="0" borderId="0" xfId="1" applyNumberFormat="1" applyFont="1" applyFill="1" applyBorder="1" applyAlignment="1" applyProtection="1">
      <alignment vertical="center"/>
    </xf>
    <xf numFmtId="37" fontId="2" fillId="0" borderId="4" xfId="1" applyFont="1" applyFill="1" applyBorder="1" applyAlignment="1" applyProtection="1">
      <alignment horizontal="left" vertical="center" wrapText="1"/>
    </xf>
    <xf numFmtId="3" fontId="2" fillId="0" borderId="4" xfId="1" applyNumberFormat="1" applyFont="1" applyFill="1" applyBorder="1" applyAlignment="1" applyProtection="1">
      <alignment horizontal="right"/>
    </xf>
    <xf numFmtId="3" fontId="2" fillId="0" borderId="7" xfId="1" applyNumberFormat="1" applyFont="1" applyFill="1" applyBorder="1" applyAlignment="1" applyProtection="1">
      <alignment horizontal="right"/>
    </xf>
    <xf numFmtId="3" fontId="2" fillId="0" borderId="6" xfId="1" applyNumberFormat="1" applyFont="1" applyFill="1" applyBorder="1" applyAlignment="1" applyProtection="1">
      <alignment horizontal="right"/>
    </xf>
    <xf numFmtId="3" fontId="2" fillId="0" borderId="7" xfId="1" quotePrefix="1" applyNumberFormat="1" applyFont="1" applyFill="1" applyBorder="1" applyAlignment="1" applyProtection="1">
      <alignment horizontal="right"/>
    </xf>
    <xf numFmtId="3" fontId="2" fillId="0" borderId="6" xfId="1" quotePrefix="1" applyNumberFormat="1" applyFont="1" applyFill="1" applyBorder="1" applyAlignment="1" applyProtection="1">
      <alignment horizontal="right"/>
    </xf>
    <xf numFmtId="3" fontId="2" fillId="0" borderId="0" xfId="1" quotePrefix="1" applyNumberFormat="1" applyFont="1" applyFill="1" applyBorder="1" applyAlignment="1" applyProtection="1">
      <alignment horizontal="right"/>
    </xf>
    <xf numFmtId="164" fontId="2" fillId="0" borderId="0" xfId="1" applyNumberFormat="1" applyFont="1" applyFill="1" applyAlignment="1" applyProtection="1">
      <alignment horizontal="right"/>
    </xf>
    <xf numFmtId="3" fontId="2" fillId="0" borderId="6" xfId="1" applyNumberFormat="1" applyFont="1" applyFill="1" applyBorder="1" applyAlignment="1" applyProtection="1">
      <alignment horizontal="right" vertical="center"/>
    </xf>
    <xf numFmtId="3" fontId="2" fillId="0" borderId="0" xfId="1" applyNumberFormat="1" applyFont="1" applyFill="1" applyBorder="1" applyAlignment="1" applyProtection="1">
      <alignment horizontal="right" vertical="center"/>
    </xf>
    <xf numFmtId="164" fontId="2" fillId="0" borderId="0" xfId="1" applyNumberFormat="1" applyFont="1" applyFill="1" applyAlignment="1" applyProtection="1">
      <alignment horizontal="right" vertical="center"/>
    </xf>
    <xf numFmtId="3" fontId="2" fillId="0" borderId="7" xfId="1" quotePrefix="1" applyNumberFormat="1" applyFont="1" applyFill="1" applyBorder="1" applyAlignment="1" applyProtection="1">
      <alignment horizontal="right" vertical="center"/>
    </xf>
    <xf numFmtId="3" fontId="2" fillId="0" borderId="6" xfId="1" quotePrefix="1" applyNumberFormat="1" applyFont="1" applyFill="1" applyBorder="1" applyAlignment="1" applyProtection="1">
      <alignment horizontal="right" vertical="center"/>
    </xf>
    <xf numFmtId="3" fontId="2" fillId="0" borderId="0" xfId="1" quotePrefix="1" applyNumberFormat="1" applyFont="1" applyFill="1" applyBorder="1" applyAlignment="1" applyProtection="1">
      <alignment horizontal="right" vertical="center"/>
    </xf>
    <xf numFmtId="37" fontId="2" fillId="0" borderId="4" xfId="1" applyFont="1" applyFill="1" applyBorder="1" applyAlignment="1" applyProtection="1">
      <alignment vertical="center"/>
    </xf>
    <xf numFmtId="3" fontId="2" fillId="0" borderId="4" xfId="1" applyNumberFormat="1" applyFont="1" applyFill="1" applyBorder="1" applyAlignment="1">
      <alignment vertical="center"/>
    </xf>
    <xf numFmtId="3" fontId="2" fillId="0" borderId="7" xfId="1" applyNumberFormat="1" applyFont="1" applyFill="1" applyBorder="1" applyAlignment="1">
      <alignment vertical="center"/>
    </xf>
    <xf numFmtId="3" fontId="2" fillId="0" borderId="7" xfId="1" applyNumberFormat="1" applyFont="1" applyFill="1" applyBorder="1" applyAlignment="1">
      <alignment horizontal="right" vertical="center"/>
    </xf>
    <xf numFmtId="3" fontId="2" fillId="0" borderId="6" xfId="1" applyNumberFormat="1" applyFont="1" applyFill="1" applyBorder="1" applyAlignment="1">
      <alignment horizontal="right" vertical="center"/>
    </xf>
    <xf numFmtId="3" fontId="2" fillId="0" borderId="0" xfId="1" applyNumberFormat="1" applyFont="1" applyFill="1" applyBorder="1" applyAlignment="1">
      <alignment horizontal="right" vertical="center"/>
    </xf>
    <xf numFmtId="164" fontId="2" fillId="0" borderId="0" xfId="1" applyNumberFormat="1" applyFont="1" applyFill="1" applyAlignment="1" applyProtection="1">
      <alignment vertical="center"/>
    </xf>
    <xf numFmtId="3" fontId="2" fillId="0" borderId="12" xfId="1" applyNumberFormat="1" applyFont="1" applyFill="1" applyBorder="1" applyAlignment="1" applyProtection="1">
      <alignment vertical="center"/>
    </xf>
    <xf numFmtId="3" fontId="2" fillId="0" borderId="10" xfId="1" applyNumberFormat="1" applyFont="1" applyFill="1" applyBorder="1" applyAlignment="1" applyProtection="1">
      <alignment vertical="center"/>
    </xf>
    <xf numFmtId="3" fontId="2" fillId="0" borderId="12" xfId="1" applyNumberFormat="1" applyFont="1" applyFill="1" applyBorder="1" applyAlignment="1" applyProtection="1">
      <alignment horizontal="right" vertical="center"/>
    </xf>
    <xf numFmtId="3" fontId="2" fillId="0" borderId="11" xfId="1" quotePrefix="1" applyNumberFormat="1" applyFont="1" applyFill="1" applyBorder="1" applyAlignment="1" applyProtection="1">
      <alignment horizontal="right" vertical="center"/>
    </xf>
    <xf numFmtId="3" fontId="2" fillId="0" borderId="13" xfId="1" quotePrefix="1" applyNumberFormat="1" applyFont="1" applyFill="1" applyBorder="1" applyAlignment="1" applyProtection="1">
      <alignment horizontal="right" vertical="center"/>
    </xf>
    <xf numFmtId="164" fontId="2" fillId="0" borderId="13" xfId="1" applyNumberFormat="1" applyFont="1" applyFill="1" applyBorder="1" applyAlignment="1" applyProtection="1">
      <alignment horizontal="right" vertical="center"/>
    </xf>
    <xf numFmtId="37" fontId="2" fillId="0" borderId="16" xfId="1" quotePrefix="1" applyFont="1" applyFill="1" applyBorder="1" applyAlignment="1" applyProtection="1">
      <alignment vertical="center"/>
    </xf>
    <xf numFmtId="37" fontId="2" fillId="0" borderId="0" xfId="1" applyFont="1" applyFill="1" applyBorder="1" applyAlignment="1" applyProtection="1">
      <alignment vertical="center"/>
    </xf>
    <xf numFmtId="37" fontId="2" fillId="0" borderId="0" xfId="1" applyFont="1" applyFill="1" applyAlignment="1" applyProtection="1">
      <alignment vertical="center"/>
    </xf>
    <xf numFmtId="37" fontId="2" fillId="0" borderId="0" xfId="1" quotePrefix="1" applyFont="1" applyFill="1" applyAlignment="1" applyProtection="1">
      <alignment vertical="center"/>
    </xf>
    <xf numFmtId="37" fontId="2" fillId="0" borderId="0" xfId="1" applyFont="1" applyFill="1" applyAlignment="1" applyProtection="1">
      <alignment vertical="justify" wrapText="1"/>
    </xf>
    <xf numFmtId="37" fontId="2" fillId="0" borderId="0" xfId="1" applyFont="1" applyFill="1" applyAlignment="1" applyProtection="1">
      <alignment vertical="center" wrapText="1"/>
    </xf>
    <xf numFmtId="3" fontId="2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vertical="center"/>
    </xf>
    <xf numFmtId="1" fontId="2" fillId="0" borderId="0" xfId="1" applyNumberFormat="1" applyFont="1" applyFill="1" applyBorder="1" applyAlignment="1" applyProtection="1">
      <alignment vertical="center"/>
    </xf>
    <xf numFmtId="1" fontId="2" fillId="0" borderId="0" xfId="1" applyNumberFormat="1" applyFont="1" applyFill="1" applyBorder="1" applyAlignment="1" applyProtection="1">
      <alignment horizontal="right" vertical="center"/>
    </xf>
    <xf numFmtId="3" fontId="2" fillId="0" borderId="12" xfId="0" applyNumberFormat="1" applyFont="1" applyFill="1" applyBorder="1" applyAlignment="1" applyProtection="1">
      <alignment horizontal="center" vertical="center"/>
    </xf>
    <xf numFmtId="3" fontId="2" fillId="0" borderId="13" xfId="0" applyNumberFormat="1" applyFont="1" applyFill="1" applyBorder="1" applyAlignment="1" applyProtection="1">
      <alignment horizontal="center" vertical="center"/>
    </xf>
    <xf numFmtId="3" fontId="2" fillId="0" borderId="10" xfId="0" applyNumberFormat="1" applyFont="1" applyFill="1" applyBorder="1" applyAlignment="1" applyProtection="1">
      <alignment horizontal="center" vertical="center"/>
    </xf>
    <xf numFmtId="3" fontId="2" fillId="0" borderId="6" xfId="0" applyNumberFormat="1" applyFont="1" applyFill="1" applyBorder="1" applyAlignment="1" applyProtection="1">
      <alignment horizontal="right" wrapText="1"/>
    </xf>
    <xf numFmtId="39" fontId="3" fillId="0" borderId="11" xfId="0" applyFont="1" applyFill="1" applyBorder="1" applyAlignment="1">
      <alignment horizontal="right" wrapText="1"/>
    </xf>
    <xf numFmtId="3" fontId="2" fillId="0" borderId="7" xfId="0" applyNumberFormat="1" applyFont="1" applyFill="1" applyBorder="1" applyAlignment="1" applyProtection="1">
      <alignment horizontal="right" wrapText="1"/>
    </xf>
    <xf numFmtId="39" fontId="3" fillId="0" borderId="12" xfId="0" applyFont="1" applyFill="1" applyBorder="1" applyAlignment="1">
      <alignment horizontal="right" wrapText="1"/>
    </xf>
    <xf numFmtId="3" fontId="2" fillId="0" borderId="16" xfId="0" applyNumberFormat="1" applyFont="1" applyFill="1" applyBorder="1" applyAlignment="1" applyProtection="1">
      <alignment horizontal="left" vertical="distributed" wrapText="1"/>
    </xf>
    <xf numFmtId="3" fontId="2" fillId="0" borderId="0" xfId="0" applyNumberFormat="1" applyFont="1" applyFill="1" applyBorder="1" applyAlignment="1" applyProtection="1">
      <alignment horizontal="left" vertical="distributed" wrapText="1"/>
    </xf>
    <xf numFmtId="3" fontId="2" fillId="0" borderId="0" xfId="0" applyNumberFormat="1" applyFont="1" applyFill="1" applyAlignment="1" applyProtection="1">
      <alignment horizontal="left" vertical="distributed" wrapText="1"/>
    </xf>
    <xf numFmtId="3" fontId="1" fillId="0" borderId="13" xfId="0" applyNumberFormat="1" applyFont="1" applyFill="1" applyBorder="1" applyAlignment="1" applyProtection="1">
      <alignment horizontal="left" vertical="center" wrapText="1"/>
    </xf>
    <xf numFmtId="3" fontId="2" fillId="0" borderId="14" xfId="0" applyNumberFormat="1" applyFont="1" applyFill="1" applyBorder="1" applyAlignment="1" applyProtection="1">
      <alignment horizontal="left" wrapText="1"/>
    </xf>
    <xf numFmtId="39" fontId="3" fillId="0" borderId="4" xfId="0" applyFont="1" applyFill="1" applyBorder="1" applyAlignment="1">
      <alignment wrapText="1"/>
    </xf>
    <xf numFmtId="39" fontId="3" fillId="0" borderId="10" xfId="0" applyFont="1" applyFill="1" applyBorder="1" applyAlignment="1">
      <alignment wrapText="1"/>
    </xf>
    <xf numFmtId="1" fontId="2" fillId="0" borderId="15" xfId="0" applyNumberFormat="1" applyFont="1" applyFill="1" applyBorder="1" applyAlignment="1" applyProtection="1">
      <alignment horizontal="right" wrapText="1"/>
    </xf>
    <xf numFmtId="39" fontId="3" fillId="0" borderId="6" xfId="0" applyFont="1" applyFill="1" applyBorder="1" applyAlignment="1">
      <alignment wrapText="1"/>
    </xf>
    <xf numFmtId="39" fontId="3" fillId="0" borderId="11" xfId="0" applyFont="1" applyFill="1" applyBorder="1" applyAlignment="1">
      <alignment wrapText="1"/>
    </xf>
    <xf numFmtId="3" fontId="2" fillId="0" borderId="5" xfId="0" applyNumberFormat="1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37" fontId="2" fillId="0" borderId="16" xfId="1" quotePrefix="1" applyFont="1" applyFill="1" applyBorder="1" applyAlignment="1" applyProtection="1">
      <alignment horizontal="left" vertical="distributed" wrapText="1"/>
    </xf>
    <xf numFmtId="37" fontId="0" fillId="0" borderId="16" xfId="1" applyFont="1" applyFill="1" applyBorder="1" applyAlignment="1">
      <alignment horizontal="left" vertical="distributed" wrapText="1"/>
    </xf>
    <xf numFmtId="37" fontId="0" fillId="0" borderId="16" xfId="1" applyFont="1" applyFill="1" applyBorder="1" applyAlignment="1">
      <alignment vertical="distributed" wrapText="1"/>
    </xf>
    <xf numFmtId="37" fontId="2" fillId="0" borderId="0" xfId="1" applyFont="1" applyFill="1" applyBorder="1" applyAlignment="1" applyProtection="1">
      <alignment horizontal="left" vertical="distributed" wrapText="1"/>
    </xf>
    <xf numFmtId="37" fontId="0" fillId="0" borderId="0" xfId="1" applyFont="1" applyFill="1" applyAlignment="1">
      <alignment horizontal="left" vertical="distributed" wrapText="1"/>
    </xf>
    <xf numFmtId="37" fontId="0" fillId="0" borderId="0" xfId="1" applyFont="1" applyFill="1" applyAlignment="1">
      <alignment vertical="distributed" wrapText="1"/>
    </xf>
    <xf numFmtId="37" fontId="2" fillId="0" borderId="0" xfId="1" applyFont="1" applyFill="1" applyAlignment="1" applyProtection="1">
      <alignment horizontal="left" vertical="distributed" wrapText="1"/>
    </xf>
    <xf numFmtId="37" fontId="3" fillId="0" borderId="0" xfId="1" applyFont="1" applyFill="1" applyAlignment="1">
      <alignment vertical="distributed" wrapText="1"/>
    </xf>
    <xf numFmtId="37" fontId="1" fillId="0" borderId="13" xfId="1" applyFont="1" applyFill="1" applyBorder="1" applyAlignment="1" applyProtection="1">
      <alignment horizontal="left" vertical="center" wrapText="1"/>
    </xf>
    <xf numFmtId="37" fontId="2" fillId="0" borderId="14" xfId="1" applyFont="1" applyFill="1" applyBorder="1" applyAlignment="1">
      <alignment horizontal="left" wrapText="1"/>
    </xf>
    <xf numFmtId="37" fontId="2" fillId="0" borderId="10" xfId="1" applyFont="1" applyFill="1" applyBorder="1" applyAlignment="1">
      <alignment horizontal="left" wrapText="1"/>
    </xf>
    <xf numFmtId="37" fontId="2" fillId="0" borderId="5" xfId="1" applyFont="1" applyFill="1" applyBorder="1" applyAlignment="1" applyProtection="1">
      <alignment horizontal="center" vertical="center" wrapText="1"/>
    </xf>
    <xf numFmtId="37" fontId="2" fillId="0" borderId="3" xfId="1" applyFont="1" applyFill="1" applyBorder="1" applyAlignment="1" applyProtection="1">
      <alignment horizontal="center" vertical="center" wrapText="1"/>
    </xf>
    <xf numFmtId="37" fontId="2" fillId="0" borderId="2" xfId="1" applyFont="1" applyFill="1" applyBorder="1" applyAlignment="1" applyProtection="1">
      <alignment horizontal="center" vertical="center" wrapText="1"/>
    </xf>
    <xf numFmtId="37" fontId="2" fillId="0" borderId="5" xfId="1" applyFont="1" applyFill="1" applyBorder="1" applyAlignment="1" applyProtection="1">
      <alignment horizontal="right"/>
    </xf>
    <xf numFmtId="37" fontId="2" fillId="0" borderId="2" xfId="1" applyFont="1" applyFill="1" applyBorder="1" applyAlignment="1" applyProtection="1">
      <alignment horizontal="right"/>
    </xf>
    <xf numFmtId="3" fontId="2" fillId="0" borderId="5" xfId="1" applyNumberFormat="1" applyFont="1" applyFill="1" applyBorder="1" applyAlignment="1" applyProtection="1">
      <alignment horizontal="right" vertical="center"/>
    </xf>
    <xf numFmtId="3" fontId="2" fillId="0" borderId="2" xfId="1" applyNumberFormat="1" applyFont="1" applyFill="1" applyBorder="1" applyAlignment="1" applyProtection="1">
      <alignment horizontal="right" vertical="center"/>
    </xf>
  </cellXfs>
  <cellStyles count="2">
    <cellStyle name="Normal" xfId="0" builtinId="0"/>
    <cellStyle name="Normal 2" xfId="1" xr:uid="{A6F6C3E7-CEE0-4E24-AA78-02B10543F4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1CA0-5213-4643-9A42-654EAB2D9918}">
  <sheetPr syncVertical="1" syncRef="A1" transitionEvaluation="1">
    <pageSetUpPr fitToPage="1"/>
  </sheetPr>
  <dimension ref="A1:O104"/>
  <sheetViews>
    <sheetView showGridLines="0" tabSelected="1" zoomScaleNormal="100" workbookViewId="0">
      <selection sqref="A1:IV4"/>
    </sheetView>
  </sheetViews>
  <sheetFormatPr defaultColWidth="9.625" defaultRowHeight="12" customHeight="1" x14ac:dyDescent="0.25"/>
  <cols>
    <col min="1" max="1" width="24.75" style="1" customWidth="1"/>
    <col min="2" max="10" width="10.375" style="1" customWidth="1"/>
    <col min="11" max="13" width="8.25" style="1" customWidth="1"/>
    <col min="14" max="14" width="10.375" style="1" customWidth="1"/>
    <col min="15" max="15" width="8.25" style="1" customWidth="1"/>
    <col min="16" max="16384" width="9.625" style="1"/>
  </cols>
  <sheetData>
    <row r="1" spans="1:15" ht="27" customHeight="1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12.95" customHeight="1" x14ac:dyDescent="0.25">
      <c r="A2" s="124" t="s">
        <v>1</v>
      </c>
      <c r="B2" s="127" t="s">
        <v>2</v>
      </c>
      <c r="C2" s="127" t="s">
        <v>3</v>
      </c>
      <c r="D2" s="127" t="s">
        <v>4</v>
      </c>
      <c r="E2" s="127" t="s">
        <v>5</v>
      </c>
      <c r="F2" s="127" t="s">
        <v>6</v>
      </c>
      <c r="G2" s="130" t="s">
        <v>7</v>
      </c>
      <c r="H2" s="131"/>
      <c r="I2" s="131"/>
      <c r="J2" s="131"/>
      <c r="K2" s="131"/>
      <c r="L2" s="131"/>
      <c r="M2" s="131"/>
      <c r="N2" s="131"/>
      <c r="O2" s="131"/>
    </row>
    <row r="3" spans="1:15" ht="12.95" customHeight="1" x14ac:dyDescent="0.25">
      <c r="A3" s="125"/>
      <c r="B3" s="128"/>
      <c r="C3" s="128"/>
      <c r="D3" s="128"/>
      <c r="E3" s="128"/>
      <c r="F3" s="128"/>
      <c r="G3" s="116" t="s">
        <v>8</v>
      </c>
      <c r="H3" s="113" t="s">
        <v>9</v>
      </c>
      <c r="I3" s="114"/>
      <c r="J3" s="115"/>
      <c r="K3" s="113" t="s">
        <v>10</v>
      </c>
      <c r="L3" s="114"/>
      <c r="M3" s="115"/>
      <c r="N3" s="116" t="s">
        <v>11</v>
      </c>
      <c r="O3" s="118" t="s">
        <v>12</v>
      </c>
    </row>
    <row r="4" spans="1:15" ht="12.95" customHeight="1" x14ac:dyDescent="0.25">
      <c r="A4" s="126"/>
      <c r="B4" s="129"/>
      <c r="C4" s="129"/>
      <c r="D4" s="129"/>
      <c r="E4" s="129"/>
      <c r="F4" s="129"/>
      <c r="G4" s="129"/>
      <c r="H4" s="2" t="s">
        <v>8</v>
      </c>
      <c r="I4" s="2" t="s">
        <v>13</v>
      </c>
      <c r="J4" s="2" t="s">
        <v>14</v>
      </c>
      <c r="K4" s="2" t="s">
        <v>8</v>
      </c>
      <c r="L4" s="2" t="s">
        <v>13</v>
      </c>
      <c r="M4" s="2" t="s">
        <v>14</v>
      </c>
      <c r="N4" s="117"/>
      <c r="O4" s="119"/>
    </row>
    <row r="5" spans="1:15" s="7" customFormat="1" ht="12" customHeight="1" x14ac:dyDescent="0.15">
      <c r="A5" s="3">
        <v>1</v>
      </c>
      <c r="B5" s="4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  <c r="J5" s="5">
        <v>10</v>
      </c>
      <c r="K5" s="5">
        <v>11</v>
      </c>
      <c r="L5" s="5">
        <v>12</v>
      </c>
      <c r="M5" s="5">
        <v>13</v>
      </c>
      <c r="N5" s="5">
        <v>14</v>
      </c>
      <c r="O5" s="6">
        <v>15</v>
      </c>
    </row>
    <row r="6" spans="1:15" s="11" customFormat="1" ht="12" customHeight="1" x14ac:dyDescent="0.15">
      <c r="A6" s="8" t="s">
        <v>15</v>
      </c>
      <c r="B6" s="9">
        <v>2427551</v>
      </c>
      <c r="C6" s="9">
        <v>3156727</v>
      </c>
      <c r="D6" s="9">
        <v>2985366</v>
      </c>
      <c r="E6" s="9">
        <v>2925998</v>
      </c>
      <c r="F6" s="9">
        <v>2882949</v>
      </c>
      <c r="G6" s="9">
        <v>2881616</v>
      </c>
      <c r="H6" s="9">
        <v>2367267</v>
      </c>
      <c r="I6" s="9">
        <v>1093102</v>
      </c>
      <c r="J6" s="9">
        <v>1274165</v>
      </c>
      <c r="K6" s="9">
        <v>514349</v>
      </c>
      <c r="L6" s="9">
        <v>239778</v>
      </c>
      <c r="M6" s="9">
        <v>274571</v>
      </c>
      <c r="N6" s="9">
        <v>2239086</v>
      </c>
      <c r="O6" s="10">
        <v>642530</v>
      </c>
    </row>
    <row r="7" spans="1:15" s="7" customFormat="1" ht="12" customHeight="1" x14ac:dyDescent="0.15">
      <c r="A7" s="12" t="s">
        <v>16</v>
      </c>
      <c r="B7" s="13">
        <v>43411</v>
      </c>
      <c r="C7" s="14">
        <v>52990</v>
      </c>
      <c r="D7" s="14">
        <v>51665</v>
      </c>
      <c r="E7" s="14">
        <v>51148</v>
      </c>
      <c r="F7" s="14">
        <v>50151</v>
      </c>
      <c r="G7" s="14">
        <v>49968</v>
      </c>
      <c r="H7" s="14">
        <v>44568</v>
      </c>
      <c r="I7" s="14">
        <v>19780</v>
      </c>
      <c r="J7" s="14">
        <v>24788</v>
      </c>
      <c r="K7" s="14">
        <v>5400</v>
      </c>
      <c r="L7" s="14">
        <v>2478</v>
      </c>
      <c r="M7" s="14">
        <v>2922</v>
      </c>
      <c r="N7" s="14">
        <v>44312</v>
      </c>
      <c r="O7" s="15">
        <v>5656</v>
      </c>
    </row>
    <row r="8" spans="1:15" s="7" customFormat="1" ht="12" customHeight="1" x14ac:dyDescent="0.15">
      <c r="A8" s="12" t="s">
        <v>17</v>
      </c>
      <c r="B8" s="13">
        <v>2432</v>
      </c>
      <c r="C8" s="14">
        <v>5400</v>
      </c>
      <c r="D8" s="14">
        <v>4791</v>
      </c>
      <c r="E8" s="14">
        <v>4562</v>
      </c>
      <c r="F8" s="14">
        <v>3849</v>
      </c>
      <c r="G8" s="14">
        <v>3049</v>
      </c>
      <c r="H8" s="14">
        <v>2319</v>
      </c>
      <c r="I8" s="14">
        <v>1069</v>
      </c>
      <c r="J8" s="14">
        <v>1250</v>
      </c>
      <c r="K8" s="14">
        <v>730</v>
      </c>
      <c r="L8" s="14">
        <v>280</v>
      </c>
      <c r="M8" s="14">
        <v>450</v>
      </c>
      <c r="N8" s="14">
        <v>2842</v>
      </c>
      <c r="O8" s="15">
        <v>207</v>
      </c>
    </row>
    <row r="9" spans="1:15" s="7" customFormat="1" ht="12" customHeight="1" x14ac:dyDescent="0.15">
      <c r="A9" s="12" t="s">
        <v>18</v>
      </c>
      <c r="B9" s="13">
        <v>46646</v>
      </c>
      <c r="C9" s="14">
        <v>76832</v>
      </c>
      <c r="D9" s="14">
        <v>74309</v>
      </c>
      <c r="E9" s="14">
        <v>72960</v>
      </c>
      <c r="F9" s="14">
        <v>67751</v>
      </c>
      <c r="G9" s="14">
        <v>65782</v>
      </c>
      <c r="H9" s="14">
        <v>48889</v>
      </c>
      <c r="I9" s="14">
        <v>21849</v>
      </c>
      <c r="J9" s="14">
        <v>27040</v>
      </c>
      <c r="K9" s="14">
        <v>16893</v>
      </c>
      <c r="L9" s="14">
        <v>7742</v>
      </c>
      <c r="M9" s="14">
        <v>9151</v>
      </c>
      <c r="N9" s="14">
        <v>51724</v>
      </c>
      <c r="O9" s="15">
        <v>14058</v>
      </c>
    </row>
    <row r="10" spans="1:15" s="7" customFormat="1" ht="12" customHeight="1" x14ac:dyDescent="0.15">
      <c r="A10" s="12" t="s">
        <v>19</v>
      </c>
      <c r="B10" s="13">
        <v>22695</v>
      </c>
      <c r="C10" s="14">
        <v>29321</v>
      </c>
      <c r="D10" s="14">
        <v>28024</v>
      </c>
      <c r="E10" s="14">
        <v>27407</v>
      </c>
      <c r="F10" s="14">
        <v>27388</v>
      </c>
      <c r="G10" s="14">
        <v>27332</v>
      </c>
      <c r="H10" s="14">
        <v>24858</v>
      </c>
      <c r="I10" s="14">
        <v>11359</v>
      </c>
      <c r="J10" s="14">
        <v>13499</v>
      </c>
      <c r="K10" s="14">
        <v>2474</v>
      </c>
      <c r="L10" s="14">
        <v>1116</v>
      </c>
      <c r="M10" s="14">
        <v>1358</v>
      </c>
      <c r="N10" s="14">
        <v>23538</v>
      </c>
      <c r="O10" s="15">
        <v>3794</v>
      </c>
    </row>
    <row r="11" spans="1:15" s="7" customFormat="1" ht="12" customHeight="1" x14ac:dyDescent="0.15">
      <c r="A11" s="12" t="s">
        <v>20</v>
      </c>
      <c r="B11" s="13">
        <v>246128</v>
      </c>
      <c r="C11" s="14">
        <v>402832</v>
      </c>
      <c r="D11" s="14">
        <v>395102</v>
      </c>
      <c r="E11" s="14">
        <v>391838</v>
      </c>
      <c r="F11" s="14">
        <v>383920</v>
      </c>
      <c r="G11" s="14">
        <v>395583</v>
      </c>
      <c r="H11" s="14">
        <v>269905</v>
      </c>
      <c r="I11" s="14">
        <v>123876</v>
      </c>
      <c r="J11" s="14">
        <v>146029</v>
      </c>
      <c r="K11" s="14">
        <v>125678</v>
      </c>
      <c r="L11" s="14">
        <v>64340</v>
      </c>
      <c r="M11" s="14">
        <v>61338</v>
      </c>
      <c r="N11" s="14">
        <v>352771</v>
      </c>
      <c r="O11" s="15">
        <v>42812</v>
      </c>
    </row>
    <row r="12" spans="1:15" s="7" customFormat="1" ht="12" customHeight="1" x14ac:dyDescent="0.15">
      <c r="A12" s="16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</row>
    <row r="13" spans="1:15" s="7" customFormat="1" ht="12" customHeight="1" x14ac:dyDescent="0.15">
      <c r="A13" s="12" t="s">
        <v>21</v>
      </c>
      <c r="B13" s="13">
        <v>43201</v>
      </c>
      <c r="C13" s="14">
        <v>54594</v>
      </c>
      <c r="D13" s="14">
        <v>45111</v>
      </c>
      <c r="E13" s="14">
        <v>44275</v>
      </c>
      <c r="F13" s="14">
        <v>43349</v>
      </c>
      <c r="G13" s="14">
        <v>43849</v>
      </c>
      <c r="H13" s="14">
        <v>36041</v>
      </c>
      <c r="I13" s="14">
        <v>17258</v>
      </c>
      <c r="J13" s="14">
        <v>18783</v>
      </c>
      <c r="K13" s="14">
        <v>7808</v>
      </c>
      <c r="L13" s="14">
        <v>3557</v>
      </c>
      <c r="M13" s="14">
        <v>4251</v>
      </c>
      <c r="N13" s="14">
        <v>36996</v>
      </c>
      <c r="O13" s="15">
        <v>6853</v>
      </c>
    </row>
    <row r="14" spans="1:15" s="7" customFormat="1" ht="12" customHeight="1" x14ac:dyDescent="0.15">
      <c r="A14" s="12" t="s">
        <v>22</v>
      </c>
      <c r="B14" s="13">
        <v>24212</v>
      </c>
      <c r="C14" s="14">
        <v>32719</v>
      </c>
      <c r="D14" s="14">
        <v>32213</v>
      </c>
      <c r="E14" s="14">
        <v>31550</v>
      </c>
      <c r="F14" s="14">
        <v>31398</v>
      </c>
      <c r="G14" s="14">
        <v>31695</v>
      </c>
      <c r="H14" s="14">
        <v>26235</v>
      </c>
      <c r="I14" s="14">
        <v>11919</v>
      </c>
      <c r="J14" s="14">
        <v>14316</v>
      </c>
      <c r="K14" s="14">
        <v>5460</v>
      </c>
      <c r="L14" s="14">
        <v>2374</v>
      </c>
      <c r="M14" s="14">
        <v>3086</v>
      </c>
      <c r="N14" s="14">
        <v>19063</v>
      </c>
      <c r="O14" s="15">
        <v>12632</v>
      </c>
    </row>
    <row r="15" spans="1:15" s="7" customFormat="1" ht="12" customHeight="1" x14ac:dyDescent="0.15">
      <c r="A15" s="12" t="s">
        <v>23</v>
      </c>
      <c r="B15" s="13">
        <v>7636</v>
      </c>
      <c r="C15" s="14">
        <v>8947</v>
      </c>
      <c r="D15" s="14">
        <v>9549</v>
      </c>
      <c r="E15" s="14">
        <v>9526</v>
      </c>
      <c r="F15" s="14">
        <v>9352</v>
      </c>
      <c r="G15" s="14">
        <v>9727</v>
      </c>
      <c r="H15" s="14">
        <v>8305</v>
      </c>
      <c r="I15" s="14">
        <v>3576</v>
      </c>
      <c r="J15" s="14">
        <v>4729</v>
      </c>
      <c r="K15" s="14">
        <v>1422</v>
      </c>
      <c r="L15" s="14">
        <v>569</v>
      </c>
      <c r="M15" s="14">
        <v>853</v>
      </c>
      <c r="N15" s="14">
        <v>8415</v>
      </c>
      <c r="O15" s="15">
        <v>1312</v>
      </c>
    </row>
    <row r="16" spans="1:15" s="7" customFormat="1" ht="12" customHeight="1" x14ac:dyDescent="0.15">
      <c r="A16" s="12" t="s">
        <v>24</v>
      </c>
      <c r="B16" s="13">
        <v>9150</v>
      </c>
      <c r="C16" s="14">
        <v>10747</v>
      </c>
      <c r="D16" s="14">
        <v>9606</v>
      </c>
      <c r="E16" s="14">
        <v>9978</v>
      </c>
      <c r="F16" s="14">
        <v>11075</v>
      </c>
      <c r="G16" s="14">
        <v>9012</v>
      </c>
      <c r="H16" s="14">
        <v>8297</v>
      </c>
      <c r="I16" s="14">
        <v>3169</v>
      </c>
      <c r="J16" s="14">
        <v>5128</v>
      </c>
      <c r="K16" s="14">
        <v>715</v>
      </c>
      <c r="L16" s="14">
        <v>251</v>
      </c>
      <c r="M16" s="14">
        <v>464</v>
      </c>
      <c r="N16" s="14">
        <v>482</v>
      </c>
      <c r="O16" s="15">
        <v>8530</v>
      </c>
    </row>
    <row r="17" spans="1:15" s="7" customFormat="1" ht="12" customHeight="1" x14ac:dyDescent="0.15">
      <c r="A17" s="12" t="s">
        <v>25</v>
      </c>
      <c r="B17" s="13">
        <v>109931</v>
      </c>
      <c r="C17" s="14">
        <v>176040</v>
      </c>
      <c r="D17" s="14">
        <v>163855</v>
      </c>
      <c r="E17" s="14">
        <v>157545</v>
      </c>
      <c r="F17" s="14">
        <v>157687</v>
      </c>
      <c r="G17" s="14">
        <v>158925</v>
      </c>
      <c r="H17" s="14">
        <v>121355</v>
      </c>
      <c r="I17" s="14">
        <v>52509</v>
      </c>
      <c r="J17" s="14">
        <v>68846</v>
      </c>
      <c r="K17" s="14">
        <v>37570</v>
      </c>
      <c r="L17" s="14">
        <v>16450</v>
      </c>
      <c r="M17" s="14">
        <v>21120</v>
      </c>
      <c r="N17" s="14">
        <v>117576</v>
      </c>
      <c r="O17" s="15">
        <v>41349</v>
      </c>
    </row>
    <row r="18" spans="1:15" s="7" customFormat="1" ht="12" customHeight="1" x14ac:dyDescent="0.15">
      <c r="A18" s="16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</row>
    <row r="19" spans="1:15" s="7" customFormat="1" ht="12" customHeight="1" x14ac:dyDescent="0.15">
      <c r="A19" s="12" t="s">
        <v>26</v>
      </c>
      <c r="B19" s="13">
        <v>67616</v>
      </c>
      <c r="C19" s="14">
        <v>100140</v>
      </c>
      <c r="D19" s="14">
        <v>89405</v>
      </c>
      <c r="E19" s="14">
        <v>84387</v>
      </c>
      <c r="F19" s="14">
        <v>86071</v>
      </c>
      <c r="G19" s="14">
        <v>84893</v>
      </c>
      <c r="H19" s="14">
        <v>69464</v>
      </c>
      <c r="I19" s="14">
        <v>30448</v>
      </c>
      <c r="J19" s="14">
        <v>39016</v>
      </c>
      <c r="K19" s="14">
        <v>15429</v>
      </c>
      <c r="L19" s="14">
        <v>6627</v>
      </c>
      <c r="M19" s="14">
        <v>8802</v>
      </c>
      <c r="N19" s="14">
        <v>69859</v>
      </c>
      <c r="O19" s="15">
        <v>15034</v>
      </c>
    </row>
    <row r="20" spans="1:15" s="7" customFormat="1" ht="12" customHeight="1" x14ac:dyDescent="0.15">
      <c r="A20" s="12" t="s">
        <v>27</v>
      </c>
      <c r="B20" s="13">
        <v>8931</v>
      </c>
      <c r="C20" s="14">
        <v>10740</v>
      </c>
      <c r="D20" s="14">
        <v>10123</v>
      </c>
      <c r="E20" s="14">
        <v>9613</v>
      </c>
      <c r="F20" s="14">
        <v>8851</v>
      </c>
      <c r="G20" s="14">
        <v>8414</v>
      </c>
      <c r="H20" s="14">
        <v>6801</v>
      </c>
      <c r="I20" s="14">
        <v>2779</v>
      </c>
      <c r="J20" s="14">
        <v>4022</v>
      </c>
      <c r="K20" s="14">
        <v>1613</v>
      </c>
      <c r="L20" s="14">
        <v>737</v>
      </c>
      <c r="M20" s="14">
        <v>876</v>
      </c>
      <c r="N20" s="14">
        <v>7061</v>
      </c>
      <c r="O20" s="15">
        <v>1353</v>
      </c>
    </row>
    <row r="21" spans="1:15" s="7" customFormat="1" ht="12" customHeight="1" x14ac:dyDescent="0.15">
      <c r="A21" s="12" t="s">
        <v>28</v>
      </c>
      <c r="B21" s="13">
        <v>10669</v>
      </c>
      <c r="C21" s="14">
        <v>12668</v>
      </c>
      <c r="D21" s="14">
        <v>13074</v>
      </c>
      <c r="E21" s="14">
        <v>12373</v>
      </c>
      <c r="F21" s="14">
        <v>14179</v>
      </c>
      <c r="G21" s="14">
        <v>14654</v>
      </c>
      <c r="H21" s="14">
        <v>12542</v>
      </c>
      <c r="I21" s="14">
        <v>5458</v>
      </c>
      <c r="J21" s="14">
        <v>7084</v>
      </c>
      <c r="K21" s="14">
        <v>2112</v>
      </c>
      <c r="L21" s="14">
        <v>932</v>
      </c>
      <c r="M21" s="14">
        <v>1180</v>
      </c>
      <c r="N21" s="14">
        <v>9904</v>
      </c>
      <c r="O21" s="15">
        <v>4750</v>
      </c>
    </row>
    <row r="22" spans="1:15" s="7" customFormat="1" ht="12" customHeight="1" x14ac:dyDescent="0.15">
      <c r="A22" s="12" t="s">
        <v>29</v>
      </c>
      <c r="B22" s="13">
        <v>107592</v>
      </c>
      <c r="C22" s="14">
        <v>114467</v>
      </c>
      <c r="D22" s="14">
        <v>102217</v>
      </c>
      <c r="E22" s="14">
        <v>99519</v>
      </c>
      <c r="F22" s="14">
        <v>95852</v>
      </c>
      <c r="G22" s="14">
        <v>94188</v>
      </c>
      <c r="H22" s="14">
        <v>80020</v>
      </c>
      <c r="I22" s="14">
        <v>38325</v>
      </c>
      <c r="J22" s="14">
        <v>41695</v>
      </c>
      <c r="K22" s="14">
        <v>14168</v>
      </c>
      <c r="L22" s="14">
        <v>6682</v>
      </c>
      <c r="M22" s="14">
        <v>7486</v>
      </c>
      <c r="N22" s="14">
        <v>64590</v>
      </c>
      <c r="O22" s="15">
        <v>29598</v>
      </c>
    </row>
    <row r="23" spans="1:15" s="7" customFormat="1" ht="12" customHeight="1" x14ac:dyDescent="0.15">
      <c r="A23" s="12" t="s">
        <v>30</v>
      </c>
      <c r="B23" s="13">
        <v>59320</v>
      </c>
      <c r="C23" s="14">
        <v>82406</v>
      </c>
      <c r="D23" s="14">
        <v>70008</v>
      </c>
      <c r="E23" s="14">
        <v>68495</v>
      </c>
      <c r="F23" s="14">
        <v>66876</v>
      </c>
      <c r="G23" s="14">
        <v>64045</v>
      </c>
      <c r="H23" s="14">
        <v>56091</v>
      </c>
      <c r="I23" s="14">
        <v>26333</v>
      </c>
      <c r="J23" s="14">
        <v>29758</v>
      </c>
      <c r="K23" s="14">
        <v>7954</v>
      </c>
      <c r="L23" s="14">
        <v>3735</v>
      </c>
      <c r="M23" s="14">
        <v>4219</v>
      </c>
      <c r="N23" s="14">
        <v>46689</v>
      </c>
      <c r="O23" s="15">
        <v>17356</v>
      </c>
    </row>
    <row r="24" spans="1:15" s="7" customFormat="1" ht="12" customHeight="1" x14ac:dyDescent="0.15">
      <c r="A24" s="16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</row>
    <row r="25" spans="1:15" s="7" customFormat="1" ht="12" customHeight="1" x14ac:dyDescent="0.15">
      <c r="A25" s="12" t="s">
        <v>31</v>
      </c>
      <c r="B25" s="13">
        <v>39564</v>
      </c>
      <c r="C25" s="14">
        <v>47257</v>
      </c>
      <c r="D25" s="14">
        <v>43309</v>
      </c>
      <c r="E25" s="14">
        <v>40690</v>
      </c>
      <c r="F25" s="14">
        <v>37851</v>
      </c>
      <c r="G25" s="14">
        <v>38130</v>
      </c>
      <c r="H25" s="14">
        <v>33016</v>
      </c>
      <c r="I25" s="14">
        <v>17084</v>
      </c>
      <c r="J25" s="14">
        <v>15932</v>
      </c>
      <c r="K25" s="14">
        <v>5114</v>
      </c>
      <c r="L25" s="14">
        <v>1981</v>
      </c>
      <c r="M25" s="14">
        <v>3133</v>
      </c>
      <c r="N25" s="14">
        <v>28432</v>
      </c>
      <c r="O25" s="15">
        <v>9698</v>
      </c>
    </row>
    <row r="26" spans="1:15" s="7" customFormat="1" ht="12" customHeight="1" x14ac:dyDescent="0.15">
      <c r="A26" s="12" t="s">
        <v>32</v>
      </c>
      <c r="B26" s="13">
        <v>31424</v>
      </c>
      <c r="C26" s="14">
        <v>33544</v>
      </c>
      <c r="D26" s="14">
        <v>32171</v>
      </c>
      <c r="E26" s="14">
        <v>33797</v>
      </c>
      <c r="F26" s="14">
        <v>32268</v>
      </c>
      <c r="G26" s="14">
        <v>32131</v>
      </c>
      <c r="H26" s="14">
        <v>27685</v>
      </c>
      <c r="I26" s="14">
        <v>13905</v>
      </c>
      <c r="J26" s="14">
        <v>13780</v>
      </c>
      <c r="K26" s="14">
        <v>4446</v>
      </c>
      <c r="L26" s="14">
        <v>2045</v>
      </c>
      <c r="M26" s="14">
        <v>2401</v>
      </c>
      <c r="N26" s="14">
        <v>27470</v>
      </c>
      <c r="O26" s="15">
        <v>4661</v>
      </c>
    </row>
    <row r="27" spans="1:15" s="7" customFormat="1" ht="12" customHeight="1" x14ac:dyDescent="0.15">
      <c r="A27" s="12" t="s">
        <v>33</v>
      </c>
      <c r="B27" s="13">
        <v>34140</v>
      </c>
      <c r="C27" s="14">
        <v>43735</v>
      </c>
      <c r="D27" s="14">
        <v>39803</v>
      </c>
      <c r="E27" s="14">
        <v>39048</v>
      </c>
      <c r="F27" s="14">
        <v>37623</v>
      </c>
      <c r="G27" s="14">
        <v>36389</v>
      </c>
      <c r="H27" s="14">
        <v>32557</v>
      </c>
      <c r="I27" s="14">
        <v>14228</v>
      </c>
      <c r="J27" s="14">
        <v>18329</v>
      </c>
      <c r="K27" s="14">
        <v>3832</v>
      </c>
      <c r="L27" s="14">
        <v>1699</v>
      </c>
      <c r="M27" s="14">
        <v>2133</v>
      </c>
      <c r="N27" s="14">
        <v>29735</v>
      </c>
      <c r="O27" s="15">
        <v>6654</v>
      </c>
    </row>
    <row r="28" spans="1:15" s="7" customFormat="1" ht="12" customHeight="1" x14ac:dyDescent="0.15">
      <c r="A28" s="12" t="s">
        <v>34</v>
      </c>
      <c r="B28" s="13">
        <v>45383</v>
      </c>
      <c r="C28" s="14">
        <v>43144</v>
      </c>
      <c r="D28" s="14">
        <v>41073</v>
      </c>
      <c r="E28" s="14">
        <v>40871</v>
      </c>
      <c r="F28" s="14">
        <v>40740</v>
      </c>
      <c r="G28" s="14">
        <v>40263</v>
      </c>
      <c r="H28" s="14">
        <v>35601</v>
      </c>
      <c r="I28" s="14">
        <v>15180</v>
      </c>
      <c r="J28" s="14">
        <v>20421</v>
      </c>
      <c r="K28" s="14">
        <v>4662</v>
      </c>
      <c r="L28" s="14">
        <v>2108</v>
      </c>
      <c r="M28" s="14">
        <v>2554</v>
      </c>
      <c r="N28" s="14">
        <v>34635</v>
      </c>
      <c r="O28" s="15">
        <v>5628</v>
      </c>
    </row>
    <row r="29" spans="1:15" s="7" customFormat="1" ht="12" customHeight="1" x14ac:dyDescent="0.15">
      <c r="A29" s="12" t="s">
        <v>35</v>
      </c>
      <c r="B29" s="13">
        <v>9231</v>
      </c>
      <c r="C29" s="14">
        <v>12203</v>
      </c>
      <c r="D29" s="14">
        <v>11794</v>
      </c>
      <c r="E29" s="14">
        <v>11253</v>
      </c>
      <c r="F29" s="14">
        <v>11357</v>
      </c>
      <c r="G29" s="14">
        <v>11727</v>
      </c>
      <c r="H29" s="14">
        <v>10450</v>
      </c>
      <c r="I29" s="14">
        <v>5011</v>
      </c>
      <c r="J29" s="14">
        <v>5439</v>
      </c>
      <c r="K29" s="14">
        <v>1277</v>
      </c>
      <c r="L29" s="14">
        <v>487</v>
      </c>
      <c r="M29" s="14">
        <v>790</v>
      </c>
      <c r="N29" s="14">
        <v>7749</v>
      </c>
      <c r="O29" s="15">
        <v>3978</v>
      </c>
    </row>
    <row r="30" spans="1:15" s="7" customFormat="1" ht="12" customHeight="1" x14ac:dyDescent="0.15">
      <c r="A30" s="16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s="7" customFormat="1" ht="12" customHeight="1" x14ac:dyDescent="0.15">
      <c r="A31" s="12" t="s">
        <v>36</v>
      </c>
      <c r="B31" s="13">
        <v>35552</v>
      </c>
      <c r="C31" s="14">
        <v>51104</v>
      </c>
      <c r="D31" s="14">
        <v>47460</v>
      </c>
      <c r="E31" s="14">
        <v>46143</v>
      </c>
      <c r="F31" s="14">
        <v>44767</v>
      </c>
      <c r="G31" s="14">
        <v>45918</v>
      </c>
      <c r="H31" s="14">
        <v>34547</v>
      </c>
      <c r="I31" s="14">
        <v>16230</v>
      </c>
      <c r="J31" s="14">
        <v>18317</v>
      </c>
      <c r="K31" s="14">
        <v>11371</v>
      </c>
      <c r="L31" s="14">
        <v>4970</v>
      </c>
      <c r="M31" s="14">
        <v>6401</v>
      </c>
      <c r="N31" s="14">
        <v>39063</v>
      </c>
      <c r="O31" s="15">
        <v>6855</v>
      </c>
    </row>
    <row r="32" spans="1:15" s="7" customFormat="1" ht="12" customHeight="1" x14ac:dyDescent="0.15">
      <c r="A32" s="12" t="s">
        <v>37</v>
      </c>
      <c r="B32" s="13">
        <v>66044</v>
      </c>
      <c r="C32" s="14">
        <v>76857</v>
      </c>
      <c r="D32" s="14">
        <v>76631</v>
      </c>
      <c r="E32" s="14">
        <v>74982</v>
      </c>
      <c r="F32" s="14">
        <v>73189</v>
      </c>
      <c r="G32" s="14">
        <v>72432</v>
      </c>
      <c r="H32" s="14">
        <v>64652</v>
      </c>
      <c r="I32" s="14">
        <v>30001</v>
      </c>
      <c r="J32" s="14">
        <v>34651</v>
      </c>
      <c r="K32" s="14">
        <v>7780</v>
      </c>
      <c r="L32" s="14">
        <v>3307</v>
      </c>
      <c r="M32" s="14">
        <v>4473</v>
      </c>
      <c r="N32" s="14">
        <v>34091</v>
      </c>
      <c r="O32" s="15">
        <v>38341</v>
      </c>
    </row>
    <row r="33" spans="1:15" s="7" customFormat="1" ht="12" customHeight="1" x14ac:dyDescent="0.15">
      <c r="A33" s="12" t="s">
        <v>38</v>
      </c>
      <c r="B33" s="13">
        <v>84998</v>
      </c>
      <c r="C33" s="14">
        <v>101063</v>
      </c>
      <c r="D33" s="14">
        <v>91499</v>
      </c>
      <c r="E33" s="14">
        <v>89320</v>
      </c>
      <c r="F33" s="14">
        <v>89224</v>
      </c>
      <c r="G33" s="14">
        <v>86313</v>
      </c>
      <c r="H33" s="14">
        <v>68598</v>
      </c>
      <c r="I33" s="14">
        <v>32526</v>
      </c>
      <c r="J33" s="14">
        <v>36072</v>
      </c>
      <c r="K33" s="14">
        <v>17715</v>
      </c>
      <c r="L33" s="14">
        <v>8355</v>
      </c>
      <c r="M33" s="14">
        <v>9360</v>
      </c>
      <c r="N33" s="14">
        <v>74571</v>
      </c>
      <c r="O33" s="15">
        <v>11742</v>
      </c>
    </row>
    <row r="34" spans="1:15" s="7" customFormat="1" ht="12" customHeight="1" x14ac:dyDescent="0.15">
      <c r="A34" s="12" t="s">
        <v>39</v>
      </c>
      <c r="B34" s="13">
        <v>63893</v>
      </c>
      <c r="C34" s="14">
        <v>55723</v>
      </c>
      <c r="D34" s="14">
        <v>47946</v>
      </c>
      <c r="E34" s="14">
        <v>46249</v>
      </c>
      <c r="F34" s="14">
        <v>45323</v>
      </c>
      <c r="G34" s="14">
        <v>45102</v>
      </c>
      <c r="H34" s="14">
        <v>38912</v>
      </c>
      <c r="I34" s="14">
        <v>18930</v>
      </c>
      <c r="J34" s="14">
        <v>19982</v>
      </c>
      <c r="K34" s="14">
        <v>6190</v>
      </c>
      <c r="L34" s="14">
        <v>2793</v>
      </c>
      <c r="M34" s="14">
        <v>3397</v>
      </c>
      <c r="N34" s="14">
        <v>34194</v>
      </c>
      <c r="O34" s="15">
        <v>10908</v>
      </c>
    </row>
    <row r="35" spans="1:15" s="7" customFormat="1" ht="12" customHeight="1" x14ac:dyDescent="0.15">
      <c r="A35" s="12" t="s">
        <v>40</v>
      </c>
      <c r="B35" s="13">
        <v>30356</v>
      </c>
      <c r="C35" s="14">
        <v>37034</v>
      </c>
      <c r="D35" s="14">
        <v>33579</v>
      </c>
      <c r="E35" s="14">
        <v>31376</v>
      </c>
      <c r="F35" s="14">
        <v>31185</v>
      </c>
      <c r="G35" s="14">
        <v>31947</v>
      </c>
      <c r="H35" s="14">
        <v>29666</v>
      </c>
      <c r="I35" s="14">
        <v>13332</v>
      </c>
      <c r="J35" s="14">
        <v>16334</v>
      </c>
      <c r="K35" s="14">
        <v>2281</v>
      </c>
      <c r="L35" s="14">
        <v>951</v>
      </c>
      <c r="M35" s="14">
        <v>1330</v>
      </c>
      <c r="N35" s="14">
        <v>29717</v>
      </c>
      <c r="O35" s="15">
        <v>2230</v>
      </c>
    </row>
    <row r="36" spans="1:15" s="7" customFormat="1" ht="12" customHeight="1" x14ac:dyDescent="0.15">
      <c r="A36" s="16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</row>
    <row r="37" spans="1:15" s="7" customFormat="1" ht="12" customHeight="1" x14ac:dyDescent="0.15">
      <c r="A37" s="12" t="s">
        <v>41</v>
      </c>
      <c r="B37" s="13">
        <v>48639</v>
      </c>
      <c r="C37" s="14">
        <v>64381</v>
      </c>
      <c r="D37" s="14">
        <v>60926</v>
      </c>
      <c r="E37" s="14">
        <v>57716</v>
      </c>
      <c r="F37" s="14">
        <v>54660</v>
      </c>
      <c r="G37" s="14">
        <v>53779</v>
      </c>
      <c r="H37" s="14">
        <v>46509</v>
      </c>
      <c r="I37" s="14">
        <v>21253</v>
      </c>
      <c r="J37" s="14">
        <v>25256</v>
      </c>
      <c r="K37" s="14">
        <v>7270</v>
      </c>
      <c r="L37" s="14">
        <v>3446</v>
      </c>
      <c r="M37" s="14">
        <v>3824</v>
      </c>
      <c r="N37" s="14">
        <v>39414</v>
      </c>
      <c r="O37" s="15">
        <v>14365</v>
      </c>
    </row>
    <row r="38" spans="1:15" s="7" customFormat="1" ht="12" customHeight="1" x14ac:dyDescent="0.15">
      <c r="A38" s="12" t="s">
        <v>42</v>
      </c>
      <c r="B38" s="13">
        <v>7771</v>
      </c>
      <c r="C38" s="14">
        <v>9959</v>
      </c>
      <c r="D38" s="14">
        <v>8924</v>
      </c>
      <c r="E38" s="14">
        <v>8887</v>
      </c>
      <c r="F38" s="14">
        <v>8749</v>
      </c>
      <c r="G38" s="14">
        <v>8952</v>
      </c>
      <c r="H38" s="14">
        <v>7701</v>
      </c>
      <c r="I38" s="14">
        <v>3998</v>
      </c>
      <c r="J38" s="14">
        <v>3703</v>
      </c>
      <c r="K38" s="14">
        <v>1251</v>
      </c>
      <c r="L38" s="14">
        <v>570</v>
      </c>
      <c r="M38" s="14">
        <v>681</v>
      </c>
      <c r="N38" s="14">
        <v>8086</v>
      </c>
      <c r="O38" s="15">
        <v>866</v>
      </c>
    </row>
    <row r="39" spans="1:15" s="7" customFormat="1" ht="12" customHeight="1" x14ac:dyDescent="0.15">
      <c r="A39" s="12" t="s">
        <v>43</v>
      </c>
      <c r="B39" s="13">
        <v>19027</v>
      </c>
      <c r="C39" s="14">
        <v>19284</v>
      </c>
      <c r="D39" s="14">
        <v>18789</v>
      </c>
      <c r="E39" s="14">
        <v>18372</v>
      </c>
      <c r="F39" s="14">
        <v>18092</v>
      </c>
      <c r="G39" s="14">
        <v>18417</v>
      </c>
      <c r="H39" s="14">
        <v>16709</v>
      </c>
      <c r="I39" s="14">
        <v>8070</v>
      </c>
      <c r="J39" s="14">
        <v>8639</v>
      </c>
      <c r="K39" s="14">
        <v>1708</v>
      </c>
      <c r="L39" s="14">
        <v>775</v>
      </c>
      <c r="M39" s="14">
        <v>933</v>
      </c>
      <c r="N39" s="14">
        <v>14993</v>
      </c>
      <c r="O39" s="15">
        <v>3424</v>
      </c>
    </row>
    <row r="40" spans="1:15" s="7" customFormat="1" ht="12" customHeight="1" x14ac:dyDescent="0.15">
      <c r="A40" s="12" t="s">
        <v>44</v>
      </c>
      <c r="B40" s="13">
        <v>10490</v>
      </c>
      <c r="C40" s="14">
        <v>18572</v>
      </c>
      <c r="D40" s="14">
        <v>16388</v>
      </c>
      <c r="E40" s="14">
        <v>16337</v>
      </c>
      <c r="F40" s="14">
        <v>15917</v>
      </c>
      <c r="G40" s="14">
        <v>16112</v>
      </c>
      <c r="H40" s="14">
        <v>11979</v>
      </c>
      <c r="I40" s="14">
        <v>5102</v>
      </c>
      <c r="J40" s="14">
        <v>6877</v>
      </c>
      <c r="K40" s="14">
        <v>4133</v>
      </c>
      <c r="L40" s="14">
        <v>1903</v>
      </c>
      <c r="M40" s="14">
        <v>2230</v>
      </c>
      <c r="N40" s="14">
        <v>14936</v>
      </c>
      <c r="O40" s="15">
        <v>1176</v>
      </c>
    </row>
    <row r="41" spans="1:15" s="7" customFormat="1" ht="12" customHeight="1" x14ac:dyDescent="0.15">
      <c r="A41" s="12" t="s">
        <v>45</v>
      </c>
      <c r="B41" s="13">
        <v>13143</v>
      </c>
      <c r="C41" s="14">
        <v>13613</v>
      </c>
      <c r="D41" s="14">
        <v>14012</v>
      </c>
      <c r="E41" s="14">
        <v>15378</v>
      </c>
      <c r="F41" s="14">
        <v>17097</v>
      </c>
      <c r="G41" s="14">
        <v>15726</v>
      </c>
      <c r="H41" s="14">
        <v>12414</v>
      </c>
      <c r="I41" s="14">
        <v>5498</v>
      </c>
      <c r="J41" s="14">
        <v>6916</v>
      </c>
      <c r="K41" s="14">
        <v>3312</v>
      </c>
      <c r="L41" s="14">
        <v>1310</v>
      </c>
      <c r="M41" s="14">
        <v>2002</v>
      </c>
      <c r="N41" s="14">
        <v>8191</v>
      </c>
      <c r="O41" s="15">
        <v>7535</v>
      </c>
    </row>
    <row r="42" spans="1:15" s="7" customFormat="1" ht="12" customHeight="1" x14ac:dyDescent="0.15">
      <c r="A42" s="16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</row>
    <row r="43" spans="1:15" s="7" customFormat="1" ht="12" customHeight="1" x14ac:dyDescent="0.15">
      <c r="A43" s="12" t="s">
        <v>46</v>
      </c>
      <c r="B43" s="13">
        <v>52233</v>
      </c>
      <c r="C43" s="14">
        <v>71296</v>
      </c>
      <c r="D43" s="14">
        <v>68072</v>
      </c>
      <c r="E43" s="14">
        <v>67144</v>
      </c>
      <c r="F43" s="14">
        <v>65232</v>
      </c>
      <c r="G43" s="14">
        <v>64986</v>
      </c>
      <c r="H43" s="14">
        <v>56469</v>
      </c>
      <c r="I43" s="14">
        <v>27693</v>
      </c>
      <c r="J43" s="14">
        <v>28776</v>
      </c>
      <c r="K43" s="14">
        <v>8517</v>
      </c>
      <c r="L43" s="14">
        <v>3930</v>
      </c>
      <c r="M43" s="14">
        <v>4587</v>
      </c>
      <c r="N43" s="14">
        <v>54306</v>
      </c>
      <c r="O43" s="15">
        <v>10680</v>
      </c>
    </row>
    <row r="44" spans="1:15" s="7" customFormat="1" ht="12" customHeight="1" x14ac:dyDescent="0.15">
      <c r="A44" s="12" t="s">
        <v>47</v>
      </c>
      <c r="B44" s="13">
        <v>15261</v>
      </c>
      <c r="C44" s="14">
        <v>22353</v>
      </c>
      <c r="D44" s="14">
        <v>19581</v>
      </c>
      <c r="E44" s="14">
        <v>17311</v>
      </c>
      <c r="F44" s="14">
        <v>18045</v>
      </c>
      <c r="G44" s="14">
        <v>19132</v>
      </c>
      <c r="H44" s="14">
        <v>15048</v>
      </c>
      <c r="I44" s="14">
        <v>6853</v>
      </c>
      <c r="J44" s="14">
        <v>8195</v>
      </c>
      <c r="K44" s="14">
        <v>4084</v>
      </c>
      <c r="L44" s="14">
        <v>1843</v>
      </c>
      <c r="M44" s="14">
        <v>2241</v>
      </c>
      <c r="N44" s="14">
        <v>18126</v>
      </c>
      <c r="O44" s="15">
        <v>1006</v>
      </c>
    </row>
    <row r="45" spans="1:15" s="7" customFormat="1" ht="12" customHeight="1" x14ac:dyDescent="0.15">
      <c r="A45" s="12" t="s">
        <v>48</v>
      </c>
      <c r="B45" s="13">
        <v>168181</v>
      </c>
      <c r="C45" s="14">
        <v>197849</v>
      </c>
      <c r="D45" s="14">
        <v>190580</v>
      </c>
      <c r="E45" s="14">
        <v>189419</v>
      </c>
      <c r="F45" s="14">
        <v>187059</v>
      </c>
      <c r="G45" s="14">
        <v>185672</v>
      </c>
      <c r="H45" s="14">
        <v>177025</v>
      </c>
      <c r="I45" s="14">
        <v>83178</v>
      </c>
      <c r="J45" s="14">
        <v>93847</v>
      </c>
      <c r="K45" s="14">
        <v>8647</v>
      </c>
      <c r="L45" s="14">
        <v>4062</v>
      </c>
      <c r="M45" s="14">
        <v>4585</v>
      </c>
      <c r="N45" s="14">
        <v>110502</v>
      </c>
      <c r="O45" s="15">
        <v>75170</v>
      </c>
    </row>
    <row r="46" spans="1:15" s="7" customFormat="1" ht="12" customHeight="1" x14ac:dyDescent="0.15">
      <c r="A46" s="12" t="s">
        <v>49</v>
      </c>
      <c r="B46" s="13">
        <v>69343</v>
      </c>
      <c r="C46" s="14">
        <v>92627</v>
      </c>
      <c r="D46" s="14">
        <v>94485</v>
      </c>
      <c r="E46" s="14">
        <v>92331</v>
      </c>
      <c r="F46" s="14">
        <v>88995</v>
      </c>
      <c r="G46" s="14">
        <v>88600</v>
      </c>
      <c r="H46" s="14">
        <v>72841</v>
      </c>
      <c r="I46" s="14">
        <v>32653</v>
      </c>
      <c r="J46" s="14">
        <v>40188</v>
      </c>
      <c r="K46" s="14">
        <v>15759</v>
      </c>
      <c r="L46" s="14">
        <v>7003</v>
      </c>
      <c r="M46" s="14">
        <v>8756</v>
      </c>
      <c r="N46" s="14">
        <v>68228</v>
      </c>
      <c r="O46" s="15">
        <v>20372</v>
      </c>
    </row>
    <row r="47" spans="1:15" s="7" customFormat="1" ht="12" customHeight="1" x14ac:dyDescent="0.15">
      <c r="A47" s="12" t="s">
        <v>50</v>
      </c>
      <c r="B47" s="13">
        <v>8929</v>
      </c>
      <c r="C47" s="14">
        <v>9073</v>
      </c>
      <c r="D47" s="14">
        <v>8741</v>
      </c>
      <c r="E47" s="14">
        <v>8565</v>
      </c>
      <c r="F47" s="14">
        <v>8606</v>
      </c>
      <c r="G47" s="14">
        <v>8709</v>
      </c>
      <c r="H47" s="14">
        <v>8341</v>
      </c>
      <c r="I47" s="14">
        <v>4505</v>
      </c>
      <c r="J47" s="14">
        <v>3836</v>
      </c>
      <c r="K47" s="14">
        <v>368</v>
      </c>
      <c r="L47" s="14">
        <v>192</v>
      </c>
      <c r="M47" s="14">
        <v>176</v>
      </c>
      <c r="N47" s="14">
        <v>7697</v>
      </c>
      <c r="O47" s="15">
        <v>1012</v>
      </c>
    </row>
    <row r="48" spans="1:15" s="7" customFormat="1" ht="12" customHeight="1" x14ac:dyDescent="0.15">
      <c r="A48" s="16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5"/>
    </row>
    <row r="49" spans="1:15" s="7" customFormat="1" ht="12" customHeight="1" x14ac:dyDescent="0.15">
      <c r="A49" s="12" t="s">
        <v>51</v>
      </c>
      <c r="B49" s="13">
        <v>98823</v>
      </c>
      <c r="C49" s="14">
        <v>123063</v>
      </c>
      <c r="D49" s="14">
        <v>106917</v>
      </c>
      <c r="E49" s="14">
        <v>102731</v>
      </c>
      <c r="F49" s="14">
        <v>100029</v>
      </c>
      <c r="G49" s="14">
        <v>103056</v>
      </c>
      <c r="H49" s="14">
        <v>88898</v>
      </c>
      <c r="I49" s="14">
        <v>42209</v>
      </c>
      <c r="J49" s="14">
        <v>46689</v>
      </c>
      <c r="K49" s="14">
        <v>14158</v>
      </c>
      <c r="L49" s="14">
        <v>6275</v>
      </c>
      <c r="M49" s="14">
        <v>7883</v>
      </c>
      <c r="N49" s="14">
        <v>77939</v>
      </c>
      <c r="O49" s="15">
        <v>25117</v>
      </c>
    </row>
    <row r="50" spans="1:15" s="7" customFormat="1" ht="12" customHeight="1" x14ac:dyDescent="0.15">
      <c r="A50" s="12" t="s">
        <v>52</v>
      </c>
      <c r="B50" s="13">
        <v>35094</v>
      </c>
      <c r="C50" s="14">
        <v>39107</v>
      </c>
      <c r="D50" s="14">
        <v>36724</v>
      </c>
      <c r="E50" s="14">
        <v>36170</v>
      </c>
      <c r="F50" s="14">
        <v>36371</v>
      </c>
      <c r="G50" s="14">
        <v>36261</v>
      </c>
      <c r="H50" s="14">
        <v>30386</v>
      </c>
      <c r="I50" s="14">
        <v>14320</v>
      </c>
      <c r="J50" s="14">
        <v>16066</v>
      </c>
      <c r="K50" s="14">
        <v>5875</v>
      </c>
      <c r="L50" s="14">
        <v>2443</v>
      </c>
      <c r="M50" s="14">
        <v>3432</v>
      </c>
      <c r="N50" s="14">
        <v>30910</v>
      </c>
      <c r="O50" s="15">
        <v>5351</v>
      </c>
    </row>
    <row r="51" spans="1:15" s="7" customFormat="1" ht="12" customHeight="1" x14ac:dyDescent="0.15">
      <c r="A51" s="12" t="s">
        <v>53</v>
      </c>
      <c r="B51" s="13">
        <v>26946</v>
      </c>
      <c r="C51" s="14">
        <v>35442</v>
      </c>
      <c r="D51" s="14">
        <v>31638</v>
      </c>
      <c r="E51" s="14">
        <v>29640</v>
      </c>
      <c r="F51" s="14">
        <v>30765</v>
      </c>
      <c r="G51" s="14">
        <v>30628</v>
      </c>
      <c r="H51" s="14">
        <v>24290</v>
      </c>
      <c r="I51" s="14">
        <v>11002</v>
      </c>
      <c r="J51" s="14">
        <v>13288</v>
      </c>
      <c r="K51" s="14">
        <v>6338</v>
      </c>
      <c r="L51" s="14">
        <v>3121</v>
      </c>
      <c r="M51" s="14">
        <v>3217</v>
      </c>
      <c r="N51" s="14">
        <v>25622</v>
      </c>
      <c r="O51" s="15">
        <v>5006</v>
      </c>
    </row>
    <row r="52" spans="1:15" s="7" customFormat="1" ht="12" customHeight="1" x14ac:dyDescent="0.15">
      <c r="A52" s="12" t="s">
        <v>54</v>
      </c>
      <c r="B52" s="13">
        <v>125578</v>
      </c>
      <c r="C52" s="14">
        <v>144184</v>
      </c>
      <c r="D52" s="14">
        <v>131265</v>
      </c>
      <c r="E52" s="14">
        <v>131493</v>
      </c>
      <c r="F52" s="14">
        <v>126933</v>
      </c>
      <c r="G52" s="14">
        <v>125139</v>
      </c>
      <c r="H52" s="14">
        <v>110950</v>
      </c>
      <c r="I52" s="14">
        <v>52255</v>
      </c>
      <c r="J52" s="14">
        <v>58695</v>
      </c>
      <c r="K52" s="14">
        <v>14189</v>
      </c>
      <c r="L52" s="14">
        <v>6189</v>
      </c>
      <c r="M52" s="14">
        <v>8000</v>
      </c>
      <c r="N52" s="14">
        <v>74619</v>
      </c>
      <c r="O52" s="15">
        <v>50520</v>
      </c>
    </row>
    <row r="53" spans="1:15" s="7" customFormat="1" ht="12" customHeight="1" x14ac:dyDescent="0.15">
      <c r="A53" s="12" t="s">
        <v>55</v>
      </c>
      <c r="B53" s="13">
        <v>13789</v>
      </c>
      <c r="C53" s="14">
        <v>15698</v>
      </c>
      <c r="D53" s="14">
        <v>15494</v>
      </c>
      <c r="E53" s="14">
        <v>15447</v>
      </c>
      <c r="F53" s="14">
        <v>15004</v>
      </c>
      <c r="G53" s="14">
        <v>14942</v>
      </c>
      <c r="H53" s="14">
        <v>13843</v>
      </c>
      <c r="I53" s="14">
        <v>6201</v>
      </c>
      <c r="J53" s="14">
        <v>7642</v>
      </c>
      <c r="K53" s="14">
        <v>1099</v>
      </c>
      <c r="L53" s="14">
        <v>467</v>
      </c>
      <c r="M53" s="14">
        <v>632</v>
      </c>
      <c r="N53" s="14">
        <v>6661</v>
      </c>
      <c r="O53" s="15">
        <v>8281</v>
      </c>
    </row>
    <row r="54" spans="1:15" s="7" customFormat="1" ht="12" customHeight="1" x14ac:dyDescent="0.15">
      <c r="A54" s="16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</row>
    <row r="55" spans="1:15" s="7" customFormat="1" ht="12" customHeight="1" x14ac:dyDescent="0.15">
      <c r="A55" s="12" t="s">
        <v>56</v>
      </c>
      <c r="B55" s="13">
        <v>32353</v>
      </c>
      <c r="C55" s="14">
        <v>47535</v>
      </c>
      <c r="D55" s="14">
        <v>47965</v>
      </c>
      <c r="E55" s="14">
        <v>47164</v>
      </c>
      <c r="F55" s="14">
        <v>46080</v>
      </c>
      <c r="G55" s="14">
        <v>45173</v>
      </c>
      <c r="H55" s="14">
        <v>39610</v>
      </c>
      <c r="I55" s="14">
        <v>17677</v>
      </c>
      <c r="J55" s="14">
        <v>21933</v>
      </c>
      <c r="K55" s="14">
        <v>5563</v>
      </c>
      <c r="L55" s="14">
        <v>2383</v>
      </c>
      <c r="M55" s="14">
        <v>3180</v>
      </c>
      <c r="N55" s="14">
        <v>36183</v>
      </c>
      <c r="O55" s="15">
        <v>8990</v>
      </c>
    </row>
    <row r="56" spans="1:15" s="7" customFormat="1" ht="12" customHeight="1" x14ac:dyDescent="0.15">
      <c r="A56" s="12" t="s">
        <v>57</v>
      </c>
      <c r="B56" s="13">
        <v>8597</v>
      </c>
      <c r="C56" s="14">
        <v>10074</v>
      </c>
      <c r="D56" s="14">
        <v>9264</v>
      </c>
      <c r="E56" s="14">
        <v>8372</v>
      </c>
      <c r="F56" s="14">
        <v>8473</v>
      </c>
      <c r="G56" s="14">
        <v>8316</v>
      </c>
      <c r="H56" s="14">
        <v>7815</v>
      </c>
      <c r="I56" s="14">
        <v>3978</v>
      </c>
      <c r="J56" s="14">
        <v>3837</v>
      </c>
      <c r="K56" s="14">
        <v>501</v>
      </c>
      <c r="L56" s="14">
        <v>191</v>
      </c>
      <c r="M56" s="14">
        <v>310</v>
      </c>
      <c r="N56" s="14">
        <v>7061</v>
      </c>
      <c r="O56" s="15">
        <v>1255</v>
      </c>
    </row>
    <row r="57" spans="1:15" s="7" customFormat="1" ht="12" customHeight="1" x14ac:dyDescent="0.15">
      <c r="A57" s="12" t="s">
        <v>58</v>
      </c>
      <c r="B57" s="13">
        <v>43327</v>
      </c>
      <c r="C57" s="14">
        <v>59279</v>
      </c>
      <c r="D57" s="14">
        <v>54766</v>
      </c>
      <c r="E57" s="14">
        <v>53074</v>
      </c>
      <c r="F57" s="14">
        <v>56498</v>
      </c>
      <c r="G57" s="14">
        <v>56604</v>
      </c>
      <c r="H57" s="14">
        <v>52903</v>
      </c>
      <c r="I57" s="14">
        <v>23141</v>
      </c>
      <c r="J57" s="14">
        <v>29762</v>
      </c>
      <c r="K57" s="14">
        <v>3701</v>
      </c>
      <c r="L57" s="14">
        <v>1554</v>
      </c>
      <c r="M57" s="14">
        <v>2147</v>
      </c>
      <c r="N57" s="14">
        <v>41012</v>
      </c>
      <c r="O57" s="15">
        <v>15592</v>
      </c>
    </row>
    <row r="58" spans="1:15" s="7" customFormat="1" ht="12" customHeight="1" x14ac:dyDescent="0.15">
      <c r="A58" s="12" t="s">
        <v>59</v>
      </c>
      <c r="B58" s="13">
        <v>181813</v>
      </c>
      <c r="C58" s="14">
        <v>228503</v>
      </c>
      <c r="D58" s="14">
        <v>237993</v>
      </c>
      <c r="E58" s="14">
        <v>238283</v>
      </c>
      <c r="F58" s="14">
        <v>234131</v>
      </c>
      <c r="G58" s="14">
        <v>234579</v>
      </c>
      <c r="H58" s="14">
        <v>172268</v>
      </c>
      <c r="I58" s="14">
        <v>79473</v>
      </c>
      <c r="J58" s="14">
        <v>92795</v>
      </c>
      <c r="K58" s="14">
        <v>62311</v>
      </c>
      <c r="L58" s="14">
        <v>29352</v>
      </c>
      <c r="M58" s="14">
        <v>32959</v>
      </c>
      <c r="N58" s="14">
        <v>203761</v>
      </c>
      <c r="O58" s="15">
        <v>30818</v>
      </c>
    </row>
    <row r="59" spans="1:15" s="7" customFormat="1" ht="12" customHeight="1" x14ac:dyDescent="0.15">
      <c r="A59" s="12" t="s">
        <v>60</v>
      </c>
      <c r="B59" s="13">
        <v>24953</v>
      </c>
      <c r="C59" s="14">
        <v>35126</v>
      </c>
      <c r="D59" s="14">
        <v>27440</v>
      </c>
      <c r="E59" s="14">
        <v>28221</v>
      </c>
      <c r="F59" s="14">
        <v>31884</v>
      </c>
      <c r="G59" s="14">
        <v>32317</v>
      </c>
      <c r="H59" s="14">
        <v>26895</v>
      </c>
      <c r="I59" s="14">
        <v>11706</v>
      </c>
      <c r="J59" s="14">
        <v>15189</v>
      </c>
      <c r="K59" s="14">
        <v>5422</v>
      </c>
      <c r="L59" s="14">
        <v>2652</v>
      </c>
      <c r="M59" s="14">
        <v>2770</v>
      </c>
      <c r="N59" s="14">
        <v>24501</v>
      </c>
      <c r="O59" s="15">
        <v>7816</v>
      </c>
    </row>
    <row r="60" spans="1:15" s="7" customFormat="1" ht="12" customHeight="1" x14ac:dyDescent="0.15">
      <c r="A60" s="16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5"/>
    </row>
    <row r="61" spans="1:15" s="7" customFormat="1" ht="12" customHeight="1" x14ac:dyDescent="0.15">
      <c r="A61" s="12" t="s">
        <v>61</v>
      </c>
      <c r="B61" s="13">
        <v>6810</v>
      </c>
      <c r="C61" s="14">
        <v>8242</v>
      </c>
      <c r="D61" s="14">
        <v>7672</v>
      </c>
      <c r="E61" s="14">
        <v>7525</v>
      </c>
      <c r="F61" s="14">
        <v>7202</v>
      </c>
      <c r="G61" s="14">
        <v>7474</v>
      </c>
      <c r="H61" s="14">
        <v>6984</v>
      </c>
      <c r="I61" s="14">
        <v>3456</v>
      </c>
      <c r="J61" s="14">
        <v>3528</v>
      </c>
      <c r="K61" s="14">
        <v>490</v>
      </c>
      <c r="L61" s="14">
        <v>209</v>
      </c>
      <c r="M61" s="14">
        <v>281</v>
      </c>
      <c r="N61" s="14">
        <v>4226</v>
      </c>
      <c r="O61" s="15">
        <v>3248</v>
      </c>
    </row>
    <row r="62" spans="1:15" s="7" customFormat="1" ht="12" customHeight="1" x14ac:dyDescent="0.15">
      <c r="A62" s="12" t="s">
        <v>62</v>
      </c>
      <c r="B62" s="13">
        <v>52661</v>
      </c>
      <c r="C62" s="14">
        <v>83166</v>
      </c>
      <c r="D62" s="14">
        <v>83288</v>
      </c>
      <c r="E62" s="14">
        <v>81473</v>
      </c>
      <c r="F62" s="14">
        <v>80362</v>
      </c>
      <c r="G62" s="14">
        <v>79027</v>
      </c>
      <c r="H62" s="14">
        <v>66696</v>
      </c>
      <c r="I62" s="14">
        <v>30476</v>
      </c>
      <c r="J62" s="14">
        <v>36220</v>
      </c>
      <c r="K62" s="14">
        <v>12331</v>
      </c>
      <c r="L62" s="14">
        <v>5627</v>
      </c>
      <c r="M62" s="14">
        <v>6704</v>
      </c>
      <c r="N62" s="14">
        <v>61930</v>
      </c>
      <c r="O62" s="15">
        <v>17097</v>
      </c>
    </row>
    <row r="63" spans="1:15" s="7" customFormat="1" ht="12" customHeight="1" x14ac:dyDescent="0.15">
      <c r="A63" s="12" t="s">
        <v>63</v>
      </c>
      <c r="B63" s="13">
        <v>36287</v>
      </c>
      <c r="C63" s="14">
        <v>41124</v>
      </c>
      <c r="D63" s="14">
        <v>41942</v>
      </c>
      <c r="E63" s="14">
        <v>42543</v>
      </c>
      <c r="F63" s="14">
        <v>46370</v>
      </c>
      <c r="G63" s="14">
        <v>47794</v>
      </c>
      <c r="H63" s="14">
        <v>42156</v>
      </c>
      <c r="I63" s="14">
        <v>19224</v>
      </c>
      <c r="J63" s="14">
        <v>22932</v>
      </c>
      <c r="K63" s="14">
        <v>5638</v>
      </c>
      <c r="L63" s="14">
        <v>2462</v>
      </c>
      <c r="M63" s="14">
        <v>3176</v>
      </c>
      <c r="N63" s="14">
        <v>39188</v>
      </c>
      <c r="O63" s="15">
        <v>8606</v>
      </c>
    </row>
    <row r="64" spans="1:15" s="7" customFormat="1" ht="12" customHeight="1" x14ac:dyDescent="0.15">
      <c r="A64" s="12" t="s">
        <v>64</v>
      </c>
      <c r="B64" s="13">
        <v>15659</v>
      </c>
      <c r="C64" s="14">
        <v>23020</v>
      </c>
      <c r="D64" s="14">
        <v>24760</v>
      </c>
      <c r="E64" s="14">
        <v>22357</v>
      </c>
      <c r="F64" s="14">
        <v>18866</v>
      </c>
      <c r="G64" s="14">
        <v>18879</v>
      </c>
      <c r="H64" s="14">
        <v>16275</v>
      </c>
      <c r="I64" s="14">
        <v>7663</v>
      </c>
      <c r="J64" s="14">
        <v>8612</v>
      </c>
      <c r="K64" s="14">
        <v>2604</v>
      </c>
      <c r="L64" s="14">
        <v>1275</v>
      </c>
      <c r="M64" s="14">
        <v>1329</v>
      </c>
      <c r="N64" s="14">
        <v>14763</v>
      </c>
      <c r="O64" s="15">
        <v>4116</v>
      </c>
    </row>
    <row r="65" spans="1:15" s="7" customFormat="1" ht="12" customHeight="1" x14ac:dyDescent="0.15">
      <c r="A65" s="12" t="s">
        <v>65</v>
      </c>
      <c r="B65" s="13">
        <v>53662</v>
      </c>
      <c r="C65" s="14">
        <v>61249</v>
      </c>
      <c r="D65" s="14">
        <v>54379</v>
      </c>
      <c r="E65" s="14">
        <v>52467</v>
      </c>
      <c r="F65" s="14">
        <v>50978</v>
      </c>
      <c r="G65" s="14">
        <v>50540</v>
      </c>
      <c r="H65" s="14">
        <v>42497</v>
      </c>
      <c r="I65" s="14">
        <v>20228</v>
      </c>
      <c r="J65" s="14">
        <v>22269</v>
      </c>
      <c r="K65" s="14">
        <v>8043</v>
      </c>
      <c r="L65" s="14">
        <v>3532</v>
      </c>
      <c r="M65" s="14">
        <v>4511</v>
      </c>
      <c r="N65" s="14">
        <v>41610</v>
      </c>
      <c r="O65" s="15">
        <v>8930</v>
      </c>
    </row>
    <row r="66" spans="1:15" s="7" customFormat="1" ht="12" customHeight="1" x14ac:dyDescent="0.15">
      <c r="A66" s="12" t="s">
        <v>66</v>
      </c>
      <c r="B66" s="13">
        <v>4209</v>
      </c>
      <c r="C66" s="14">
        <v>6042</v>
      </c>
      <c r="D66" s="14">
        <v>5108</v>
      </c>
      <c r="E66" s="14">
        <v>4681</v>
      </c>
      <c r="F66" s="14">
        <v>5210</v>
      </c>
      <c r="G66" s="14">
        <v>5227</v>
      </c>
      <c r="H66" s="14">
        <v>4284</v>
      </c>
      <c r="I66" s="14">
        <v>2133</v>
      </c>
      <c r="J66" s="14">
        <v>2151</v>
      </c>
      <c r="K66" s="14">
        <v>943</v>
      </c>
      <c r="L66" s="14">
        <v>446</v>
      </c>
      <c r="M66" s="14">
        <v>497</v>
      </c>
      <c r="N66" s="14">
        <v>5035</v>
      </c>
      <c r="O66" s="15">
        <v>192</v>
      </c>
    </row>
    <row r="67" spans="1:15" s="7" customFormat="1" ht="12" customHeight="1" x14ac:dyDescent="0.15">
      <c r="A67" s="16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/>
    </row>
    <row r="68" spans="1:15" s="7" customFormat="1" ht="12" customHeight="1" x14ac:dyDescent="0.15">
      <c r="A68" s="12" t="s">
        <v>67</v>
      </c>
      <c r="B68" s="13">
        <v>3818</v>
      </c>
      <c r="C68" s="14">
        <v>4359</v>
      </c>
      <c r="D68" s="14">
        <v>3936</v>
      </c>
      <c r="E68" s="14">
        <v>3992</v>
      </c>
      <c r="F68" s="14">
        <v>4065</v>
      </c>
      <c r="G68" s="14">
        <v>4107</v>
      </c>
      <c r="H68" s="14">
        <v>4107</v>
      </c>
      <c r="I68" s="14">
        <v>3023</v>
      </c>
      <c r="J68" s="14">
        <v>1084</v>
      </c>
      <c r="K68" s="14">
        <v>0</v>
      </c>
      <c r="L68" s="14">
        <v>0</v>
      </c>
      <c r="M68" s="14">
        <v>0</v>
      </c>
      <c r="N68" s="14">
        <v>4107</v>
      </c>
      <c r="O68" s="15" t="s">
        <v>68</v>
      </c>
    </row>
    <row r="69" spans="1:15" s="7" customFormat="1" ht="9" customHeight="1" thickBot="1" x14ac:dyDescent="0.2">
      <c r="A69" s="12"/>
      <c r="B69" s="1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5"/>
    </row>
    <row r="70" spans="1:15" s="7" customFormat="1" ht="12" customHeight="1" thickTop="1" x14ac:dyDescent="0.15">
      <c r="A70" s="8" t="s">
        <v>69</v>
      </c>
      <c r="B70" s="17">
        <v>39609</v>
      </c>
      <c r="C70" s="18">
        <v>52222</v>
      </c>
      <c r="D70" s="18">
        <v>50425</v>
      </c>
      <c r="E70" s="18">
        <v>50781</v>
      </c>
      <c r="F70" s="18">
        <v>43746</v>
      </c>
      <c r="G70" s="18">
        <v>48677</v>
      </c>
      <c r="H70" s="18">
        <v>46423</v>
      </c>
      <c r="I70" s="18">
        <v>20933</v>
      </c>
      <c r="J70" s="18">
        <v>25490</v>
      </c>
      <c r="K70" s="18">
        <v>2254</v>
      </c>
      <c r="L70" s="18">
        <v>944</v>
      </c>
      <c r="M70" s="18">
        <v>1310</v>
      </c>
      <c r="N70" s="18">
        <v>17393</v>
      </c>
      <c r="O70" s="19">
        <v>31284</v>
      </c>
    </row>
    <row r="71" spans="1:15" s="7" customFormat="1" ht="12" customHeight="1" x14ac:dyDescent="0.15">
      <c r="A71" s="12" t="s">
        <v>70</v>
      </c>
      <c r="B71" s="13">
        <v>297</v>
      </c>
      <c r="C71" s="14">
        <v>657</v>
      </c>
      <c r="D71" s="14">
        <v>438</v>
      </c>
      <c r="E71" s="14">
        <v>450</v>
      </c>
      <c r="F71" s="14">
        <v>382</v>
      </c>
      <c r="G71" s="14">
        <v>392</v>
      </c>
      <c r="H71" s="14">
        <v>292</v>
      </c>
      <c r="I71" s="14">
        <v>106</v>
      </c>
      <c r="J71" s="14">
        <v>186</v>
      </c>
      <c r="K71" s="14">
        <v>100</v>
      </c>
      <c r="L71" s="14">
        <v>39</v>
      </c>
      <c r="M71" s="14">
        <v>61</v>
      </c>
      <c r="N71" s="14">
        <v>392</v>
      </c>
      <c r="O71" s="15">
        <v>0</v>
      </c>
    </row>
    <row r="72" spans="1:15" s="7" customFormat="1" ht="26.1" customHeight="1" x14ac:dyDescent="0.25">
      <c r="A72" s="20" t="s">
        <v>71</v>
      </c>
      <c r="B72" s="21">
        <v>786</v>
      </c>
      <c r="C72" s="22">
        <v>653</v>
      </c>
      <c r="D72" s="22">
        <v>481</v>
      </c>
      <c r="E72" s="22">
        <v>558</v>
      </c>
      <c r="F72" s="22">
        <v>708</v>
      </c>
      <c r="G72" s="22">
        <v>760</v>
      </c>
      <c r="H72" s="22">
        <v>600</v>
      </c>
      <c r="I72" s="22">
        <v>249</v>
      </c>
      <c r="J72" s="22">
        <v>351</v>
      </c>
      <c r="K72" s="22">
        <v>160</v>
      </c>
      <c r="L72" s="22">
        <v>56</v>
      </c>
      <c r="M72" s="22">
        <v>104</v>
      </c>
      <c r="N72" s="22">
        <v>760</v>
      </c>
      <c r="O72" s="23">
        <v>0</v>
      </c>
    </row>
    <row r="73" spans="1:15" s="7" customFormat="1" ht="12" customHeight="1" x14ac:dyDescent="0.15">
      <c r="A73" s="12" t="s">
        <v>72</v>
      </c>
      <c r="B73" s="13">
        <v>770</v>
      </c>
      <c r="C73" s="14">
        <v>1043</v>
      </c>
      <c r="D73" s="14">
        <v>792</v>
      </c>
      <c r="E73" s="14">
        <v>813</v>
      </c>
      <c r="F73" s="14">
        <v>1101</v>
      </c>
      <c r="G73" s="14">
        <v>985</v>
      </c>
      <c r="H73" s="14">
        <v>730</v>
      </c>
      <c r="I73" s="14">
        <v>312</v>
      </c>
      <c r="J73" s="14">
        <v>418</v>
      </c>
      <c r="K73" s="14">
        <v>255</v>
      </c>
      <c r="L73" s="14">
        <v>103</v>
      </c>
      <c r="M73" s="14">
        <v>152</v>
      </c>
      <c r="N73" s="14">
        <v>975</v>
      </c>
      <c r="O73" s="15">
        <v>10</v>
      </c>
    </row>
    <row r="74" spans="1:15" s="7" customFormat="1" ht="12" customHeight="1" x14ac:dyDescent="0.15">
      <c r="A74" s="12" t="s">
        <v>73</v>
      </c>
      <c r="B74" s="13">
        <v>199</v>
      </c>
      <c r="C74" s="14">
        <v>240</v>
      </c>
      <c r="D74" s="14">
        <v>260</v>
      </c>
      <c r="E74" s="14">
        <v>342</v>
      </c>
      <c r="F74" s="14">
        <v>327</v>
      </c>
      <c r="G74" s="14">
        <v>329</v>
      </c>
      <c r="H74" s="14">
        <v>300</v>
      </c>
      <c r="I74" s="14">
        <v>144</v>
      </c>
      <c r="J74" s="14">
        <v>156</v>
      </c>
      <c r="K74" s="14">
        <v>29</v>
      </c>
      <c r="L74" s="14">
        <v>15</v>
      </c>
      <c r="M74" s="14">
        <v>14</v>
      </c>
      <c r="N74" s="14">
        <v>329</v>
      </c>
      <c r="O74" s="15">
        <v>0</v>
      </c>
    </row>
    <row r="75" spans="1:15" s="7" customFormat="1" ht="12" customHeight="1" x14ac:dyDescent="0.15">
      <c r="A75" s="12" t="s">
        <v>74</v>
      </c>
      <c r="B75" s="13">
        <v>333</v>
      </c>
      <c r="C75" s="14">
        <v>360</v>
      </c>
      <c r="D75" s="14">
        <v>284</v>
      </c>
      <c r="E75" s="14">
        <v>302</v>
      </c>
      <c r="F75" s="14">
        <v>290</v>
      </c>
      <c r="G75" s="14">
        <v>305</v>
      </c>
      <c r="H75" s="14">
        <v>274</v>
      </c>
      <c r="I75" s="14">
        <v>115</v>
      </c>
      <c r="J75" s="14">
        <v>159</v>
      </c>
      <c r="K75" s="14">
        <v>31</v>
      </c>
      <c r="L75" s="14">
        <v>12</v>
      </c>
      <c r="M75" s="14">
        <v>19</v>
      </c>
      <c r="N75" s="14">
        <v>305</v>
      </c>
      <c r="O75" s="15">
        <v>0</v>
      </c>
    </row>
    <row r="76" spans="1:15" s="7" customFormat="1" ht="12" customHeight="1" x14ac:dyDescent="0.15">
      <c r="A76" s="12" t="s">
        <v>75</v>
      </c>
      <c r="B76" s="13">
        <v>147</v>
      </c>
      <c r="C76" s="14">
        <v>114</v>
      </c>
      <c r="D76" s="14">
        <v>216</v>
      </c>
      <c r="E76" s="14">
        <v>164</v>
      </c>
      <c r="F76" s="14">
        <v>200</v>
      </c>
      <c r="G76" s="14">
        <v>148</v>
      </c>
      <c r="H76" s="14">
        <v>125</v>
      </c>
      <c r="I76" s="14">
        <v>65</v>
      </c>
      <c r="J76" s="14">
        <v>60</v>
      </c>
      <c r="K76" s="14">
        <v>23</v>
      </c>
      <c r="L76" s="14">
        <v>11</v>
      </c>
      <c r="M76" s="14">
        <v>12</v>
      </c>
      <c r="N76" s="14">
        <v>148</v>
      </c>
      <c r="O76" s="15">
        <v>0</v>
      </c>
    </row>
    <row r="77" spans="1:15" s="7" customFormat="1" ht="12" customHeight="1" x14ac:dyDescent="0.15">
      <c r="A77" s="12" t="s">
        <v>76</v>
      </c>
      <c r="B77" s="13">
        <v>36773</v>
      </c>
      <c r="C77" s="14">
        <v>48672</v>
      </c>
      <c r="D77" s="14">
        <v>47609</v>
      </c>
      <c r="E77" s="14">
        <v>47759</v>
      </c>
      <c r="F77" s="14">
        <v>40347</v>
      </c>
      <c r="G77" s="14">
        <v>45413</v>
      </c>
      <c r="H77" s="14">
        <v>43787</v>
      </c>
      <c r="I77" s="14">
        <v>19827</v>
      </c>
      <c r="J77" s="14">
        <v>23960</v>
      </c>
      <c r="K77" s="14">
        <v>1626</v>
      </c>
      <c r="L77" s="14">
        <v>696</v>
      </c>
      <c r="M77" s="14">
        <v>930</v>
      </c>
      <c r="N77" s="14">
        <v>14139</v>
      </c>
      <c r="O77" s="15">
        <v>31274</v>
      </c>
    </row>
    <row r="78" spans="1:15" s="7" customFormat="1" ht="12" customHeight="1" x14ac:dyDescent="0.15">
      <c r="A78" s="24" t="s">
        <v>77</v>
      </c>
      <c r="B78" s="25">
        <v>304</v>
      </c>
      <c r="C78" s="26">
        <v>483</v>
      </c>
      <c r="D78" s="26">
        <v>345</v>
      </c>
      <c r="E78" s="26">
        <v>393</v>
      </c>
      <c r="F78" s="26">
        <v>391</v>
      </c>
      <c r="G78" s="26">
        <v>345</v>
      </c>
      <c r="H78" s="26">
        <v>315</v>
      </c>
      <c r="I78" s="26">
        <v>115</v>
      </c>
      <c r="J78" s="26">
        <v>200</v>
      </c>
      <c r="K78" s="26">
        <v>30</v>
      </c>
      <c r="L78" s="26">
        <v>12</v>
      </c>
      <c r="M78" s="26">
        <v>18</v>
      </c>
      <c r="N78" s="26">
        <v>345</v>
      </c>
      <c r="O78" s="27">
        <v>0</v>
      </c>
    </row>
    <row r="79" spans="1:15" s="7" customFormat="1" ht="12" customHeight="1" x14ac:dyDescent="0.15">
      <c r="A79" s="120" t="s">
        <v>78</v>
      </c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</row>
    <row r="80" spans="1:15" s="7" customFormat="1" ht="25.5" customHeight="1" x14ac:dyDescent="0.15">
      <c r="A80" s="121" t="s">
        <v>79</v>
      </c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</row>
    <row r="81" spans="1:15" s="7" customFormat="1" ht="25.5" customHeight="1" x14ac:dyDescent="0.15">
      <c r="A81" s="122" t="s">
        <v>80</v>
      </c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</row>
    <row r="82" spans="1:15" ht="12" customHeight="1" x14ac:dyDescent="0.25">
      <c r="A82" s="28"/>
      <c r="I82" s="29"/>
    </row>
    <row r="83" spans="1:15" ht="12" customHeight="1" x14ac:dyDescent="0.25">
      <c r="I83" s="29"/>
    </row>
    <row r="84" spans="1:15" ht="12" customHeight="1" x14ac:dyDescent="0.25">
      <c r="I84" s="29"/>
    </row>
    <row r="85" spans="1:15" ht="12" customHeight="1" x14ac:dyDescent="0.25">
      <c r="I85" s="29"/>
    </row>
    <row r="86" spans="1:15" ht="12" customHeight="1" x14ac:dyDescent="0.25">
      <c r="I86" s="29"/>
    </row>
    <row r="87" spans="1:15" ht="12" customHeight="1" x14ac:dyDescent="0.25">
      <c r="I87" s="29"/>
    </row>
    <row r="88" spans="1:15" ht="12" customHeight="1" x14ac:dyDescent="0.25">
      <c r="I88" s="29"/>
    </row>
    <row r="89" spans="1:15" ht="12" customHeight="1" x14ac:dyDescent="0.25">
      <c r="I89" s="29"/>
    </row>
    <row r="90" spans="1:15" ht="12" customHeight="1" x14ac:dyDescent="0.25">
      <c r="I90" s="29"/>
    </row>
    <row r="91" spans="1:15" ht="12" customHeight="1" x14ac:dyDescent="0.25">
      <c r="I91" s="29"/>
    </row>
    <row r="92" spans="1:15" ht="12" customHeight="1" x14ac:dyDescent="0.25">
      <c r="I92" s="29"/>
    </row>
    <row r="93" spans="1:15" ht="12" customHeight="1" x14ac:dyDescent="0.25">
      <c r="I93" s="29"/>
    </row>
    <row r="94" spans="1:15" ht="12" customHeight="1" x14ac:dyDescent="0.25">
      <c r="I94" s="29"/>
    </row>
    <row r="95" spans="1:15" ht="12" customHeight="1" x14ac:dyDescent="0.25">
      <c r="I95" s="29"/>
    </row>
    <row r="96" spans="1:15" ht="12" customHeight="1" x14ac:dyDescent="0.25">
      <c r="I96" s="29"/>
    </row>
    <row r="97" spans="9:9" ht="12" customHeight="1" x14ac:dyDescent="0.25">
      <c r="I97" s="29"/>
    </row>
    <row r="98" spans="9:9" ht="12" customHeight="1" x14ac:dyDescent="0.25">
      <c r="I98" s="29"/>
    </row>
    <row r="99" spans="9:9" ht="12" customHeight="1" x14ac:dyDescent="0.25">
      <c r="I99" s="29"/>
    </row>
    <row r="100" spans="9:9" ht="12" customHeight="1" x14ac:dyDescent="0.25">
      <c r="I100" s="29"/>
    </row>
    <row r="101" spans="9:9" ht="12" customHeight="1" x14ac:dyDescent="0.25">
      <c r="I101" s="29"/>
    </row>
    <row r="102" spans="9:9" ht="12" customHeight="1" x14ac:dyDescent="0.25">
      <c r="I102" s="29"/>
    </row>
    <row r="103" spans="9:9" ht="12" customHeight="1" x14ac:dyDescent="0.25">
      <c r="I103" s="29"/>
    </row>
    <row r="104" spans="9:9" ht="12" customHeight="1" x14ac:dyDescent="0.25">
      <c r="I104" s="29"/>
    </row>
  </sheetData>
  <mergeCells count="16">
    <mergeCell ref="A1:O1"/>
    <mergeCell ref="A2:A4"/>
    <mergeCell ref="B2:B4"/>
    <mergeCell ref="C2:C4"/>
    <mergeCell ref="D2:D4"/>
    <mergeCell ref="E2:E4"/>
    <mergeCell ref="F2:F4"/>
    <mergeCell ref="G2:O2"/>
    <mergeCell ref="G3:G4"/>
    <mergeCell ref="H3:J3"/>
    <mergeCell ref="K3:M3"/>
    <mergeCell ref="N3:N4"/>
    <mergeCell ref="O3:O4"/>
    <mergeCell ref="A79:O79"/>
    <mergeCell ref="A80:O80"/>
    <mergeCell ref="A81:O81"/>
  </mergeCells>
  <pageMargins left="0.75" right="0.75" top="1" bottom="1" header="0.5" footer="0.5"/>
  <pageSetup scale="70" fitToHeight="2" orientation="landscape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  <rowBreaks count="1" manualBreakCount="1">
    <brk id="54" max="2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F16F-A585-4B98-9869-F918FFBC73B2}">
  <sheetPr syncVertical="1" syncRef="A30" transitionEvaluation="1">
    <pageSetUpPr fitToPage="1"/>
  </sheetPr>
  <dimension ref="A1:G52"/>
  <sheetViews>
    <sheetView showGridLines="0" topLeftCell="A30" zoomScaleNormal="100" workbookViewId="0">
      <selection sqref="A1:B51"/>
    </sheetView>
  </sheetViews>
  <sheetFormatPr defaultColWidth="9.625" defaultRowHeight="12" customHeight="1" x14ac:dyDescent="0.25"/>
  <cols>
    <col min="1" max="1" width="5.375" style="1" customWidth="1"/>
    <col min="2" max="2" width="14.875" style="35" bestFit="1" customWidth="1"/>
    <col min="3" max="7" width="13.875" style="1" bestFit="1" customWidth="1"/>
    <col min="8" max="16384" width="9.625" style="1"/>
  </cols>
  <sheetData>
    <row r="1" spans="1:7" ht="12.95" customHeight="1" x14ac:dyDescent="0.25">
      <c r="A1" s="34" t="s">
        <v>82</v>
      </c>
      <c r="B1" s="30" t="s">
        <v>81</v>
      </c>
      <c r="C1" s="31" t="s">
        <v>133</v>
      </c>
      <c r="D1" s="31" t="s">
        <v>134</v>
      </c>
      <c r="E1" s="31" t="s">
        <v>135</v>
      </c>
      <c r="F1" s="31" t="s">
        <v>136</v>
      </c>
      <c r="G1" s="31" t="s">
        <v>137</v>
      </c>
    </row>
    <row r="2" spans="1:7" s="7" customFormat="1" ht="12" customHeight="1" x14ac:dyDescent="0.15">
      <c r="A2" s="7">
        <v>1</v>
      </c>
      <c r="B2" s="36" t="s">
        <v>83</v>
      </c>
      <c r="C2" s="32">
        <v>43411</v>
      </c>
      <c r="D2" s="33">
        <v>52990</v>
      </c>
      <c r="E2" s="33">
        <v>51665</v>
      </c>
      <c r="F2" s="33">
        <v>51148</v>
      </c>
      <c r="G2" s="33">
        <v>50151</v>
      </c>
    </row>
    <row r="3" spans="1:7" s="7" customFormat="1" ht="12" customHeight="1" x14ac:dyDescent="0.15">
      <c r="A3" s="7">
        <f>A2+1</f>
        <v>2</v>
      </c>
      <c r="B3" s="36" t="s">
        <v>84</v>
      </c>
      <c r="C3" s="32">
        <v>2432</v>
      </c>
      <c r="D3" s="33">
        <v>5400</v>
      </c>
      <c r="E3" s="33">
        <v>4791</v>
      </c>
      <c r="F3" s="33">
        <v>4562</v>
      </c>
      <c r="G3" s="33">
        <v>3849</v>
      </c>
    </row>
    <row r="4" spans="1:7" s="7" customFormat="1" ht="12" customHeight="1" x14ac:dyDescent="0.15">
      <c r="A4" s="7">
        <f t="shared" ref="A4:A51" si="0">A3+1</f>
        <v>3</v>
      </c>
      <c r="B4" s="36" t="s">
        <v>85</v>
      </c>
      <c r="C4" s="32">
        <v>46646</v>
      </c>
      <c r="D4" s="33">
        <v>76832</v>
      </c>
      <c r="E4" s="33">
        <v>74309</v>
      </c>
      <c r="F4" s="33">
        <v>72960</v>
      </c>
      <c r="G4" s="33">
        <v>67751</v>
      </c>
    </row>
    <row r="5" spans="1:7" s="7" customFormat="1" ht="12" customHeight="1" x14ac:dyDescent="0.15">
      <c r="A5" s="7">
        <f t="shared" si="0"/>
        <v>4</v>
      </c>
      <c r="B5" s="36" t="s">
        <v>86</v>
      </c>
      <c r="C5" s="32">
        <v>22695</v>
      </c>
      <c r="D5" s="33">
        <v>29321</v>
      </c>
      <c r="E5" s="33">
        <v>28024</v>
      </c>
      <c r="F5" s="33">
        <v>27407</v>
      </c>
      <c r="G5" s="33">
        <v>27388</v>
      </c>
    </row>
    <row r="6" spans="1:7" s="7" customFormat="1" ht="12" customHeight="1" x14ac:dyDescent="0.15">
      <c r="A6" s="7">
        <f t="shared" si="0"/>
        <v>5</v>
      </c>
      <c r="B6" s="36" t="s">
        <v>87</v>
      </c>
      <c r="C6" s="32">
        <v>246128</v>
      </c>
      <c r="D6" s="33">
        <v>402832</v>
      </c>
      <c r="E6" s="33">
        <v>395102</v>
      </c>
      <c r="F6" s="33">
        <v>391838</v>
      </c>
      <c r="G6" s="33">
        <v>383920</v>
      </c>
    </row>
    <row r="7" spans="1:7" s="7" customFormat="1" ht="12" customHeight="1" x14ac:dyDescent="0.15">
      <c r="A7" s="7">
        <f t="shared" si="0"/>
        <v>6</v>
      </c>
      <c r="B7" s="36" t="s">
        <v>88</v>
      </c>
      <c r="C7" s="32">
        <v>43201</v>
      </c>
      <c r="D7" s="33">
        <v>54594</v>
      </c>
      <c r="E7" s="33">
        <v>45111</v>
      </c>
      <c r="F7" s="33">
        <v>44275</v>
      </c>
      <c r="G7" s="33">
        <v>43349</v>
      </c>
    </row>
    <row r="8" spans="1:7" s="7" customFormat="1" ht="12" customHeight="1" x14ac:dyDescent="0.15">
      <c r="A8" s="7">
        <f t="shared" si="0"/>
        <v>7</v>
      </c>
      <c r="B8" s="36" t="s">
        <v>89</v>
      </c>
      <c r="C8" s="32">
        <v>24212</v>
      </c>
      <c r="D8" s="33">
        <v>32719</v>
      </c>
      <c r="E8" s="33">
        <v>32213</v>
      </c>
      <c r="F8" s="33">
        <v>31550</v>
      </c>
      <c r="G8" s="33">
        <v>31398</v>
      </c>
    </row>
    <row r="9" spans="1:7" s="7" customFormat="1" ht="12" customHeight="1" x14ac:dyDescent="0.15">
      <c r="A9" s="7">
        <f t="shared" si="0"/>
        <v>8</v>
      </c>
      <c r="B9" s="36" t="s">
        <v>90</v>
      </c>
      <c r="C9" s="32">
        <v>7636</v>
      </c>
      <c r="D9" s="33">
        <v>8947</v>
      </c>
      <c r="E9" s="33">
        <v>9549</v>
      </c>
      <c r="F9" s="33">
        <v>9526</v>
      </c>
      <c r="G9" s="33">
        <v>9352</v>
      </c>
    </row>
    <row r="10" spans="1:7" s="7" customFormat="1" ht="12" customHeight="1" x14ac:dyDescent="0.15">
      <c r="A10" s="7">
        <f t="shared" si="0"/>
        <v>9</v>
      </c>
      <c r="B10" s="36" t="s">
        <v>91</v>
      </c>
      <c r="C10" s="32">
        <v>109931</v>
      </c>
      <c r="D10" s="33">
        <v>176040</v>
      </c>
      <c r="E10" s="33">
        <v>163855</v>
      </c>
      <c r="F10" s="33">
        <v>157545</v>
      </c>
      <c r="G10" s="33">
        <v>157687</v>
      </c>
    </row>
    <row r="11" spans="1:7" s="7" customFormat="1" ht="12" customHeight="1" x14ac:dyDescent="0.15">
      <c r="A11" s="7">
        <f t="shared" si="0"/>
        <v>10</v>
      </c>
      <c r="B11" s="36" t="s">
        <v>92</v>
      </c>
      <c r="C11" s="32">
        <v>67616</v>
      </c>
      <c r="D11" s="33">
        <v>100140</v>
      </c>
      <c r="E11" s="33">
        <v>89405</v>
      </c>
      <c r="F11" s="33">
        <v>84387</v>
      </c>
      <c r="G11" s="33">
        <v>86071</v>
      </c>
    </row>
    <row r="12" spans="1:7" s="7" customFormat="1" ht="12" customHeight="1" x14ac:dyDescent="0.15">
      <c r="A12" s="7">
        <f t="shared" si="0"/>
        <v>11</v>
      </c>
      <c r="B12" s="36" t="s">
        <v>93</v>
      </c>
      <c r="C12" s="32">
        <v>8931</v>
      </c>
      <c r="D12" s="33">
        <v>10740</v>
      </c>
      <c r="E12" s="33">
        <v>10123</v>
      </c>
      <c r="F12" s="33">
        <v>9613</v>
      </c>
      <c r="G12" s="33">
        <v>8851</v>
      </c>
    </row>
    <row r="13" spans="1:7" s="7" customFormat="1" ht="12" customHeight="1" x14ac:dyDescent="0.15">
      <c r="A13" s="7">
        <f t="shared" si="0"/>
        <v>12</v>
      </c>
      <c r="B13" s="36" t="s">
        <v>94</v>
      </c>
      <c r="C13" s="32">
        <v>10669</v>
      </c>
      <c r="D13" s="33">
        <v>12668</v>
      </c>
      <c r="E13" s="33">
        <v>13074</v>
      </c>
      <c r="F13" s="33">
        <v>12373</v>
      </c>
      <c r="G13" s="33">
        <v>14179</v>
      </c>
    </row>
    <row r="14" spans="1:7" s="7" customFormat="1" ht="12" customHeight="1" x14ac:dyDescent="0.15">
      <c r="A14" s="7">
        <f t="shared" si="0"/>
        <v>13</v>
      </c>
      <c r="B14" s="36" t="s">
        <v>95</v>
      </c>
      <c r="C14" s="32">
        <v>107592</v>
      </c>
      <c r="D14" s="33">
        <v>114467</v>
      </c>
      <c r="E14" s="33">
        <v>102217</v>
      </c>
      <c r="F14" s="33">
        <v>99519</v>
      </c>
      <c r="G14" s="33">
        <v>95852</v>
      </c>
    </row>
    <row r="15" spans="1:7" s="7" customFormat="1" ht="12" customHeight="1" x14ac:dyDescent="0.15">
      <c r="A15" s="7">
        <f t="shared" si="0"/>
        <v>14</v>
      </c>
      <c r="B15" s="36" t="s">
        <v>96</v>
      </c>
      <c r="C15" s="32">
        <v>59320</v>
      </c>
      <c r="D15" s="33">
        <v>82406</v>
      </c>
      <c r="E15" s="33">
        <v>70008</v>
      </c>
      <c r="F15" s="33">
        <v>68495</v>
      </c>
      <c r="G15" s="33">
        <v>66876</v>
      </c>
    </row>
    <row r="16" spans="1:7" s="7" customFormat="1" ht="12" customHeight="1" x14ac:dyDescent="0.15">
      <c r="A16" s="7">
        <f t="shared" si="0"/>
        <v>15</v>
      </c>
      <c r="B16" s="36" t="s">
        <v>97</v>
      </c>
      <c r="C16" s="32">
        <v>39564</v>
      </c>
      <c r="D16" s="33">
        <v>47257</v>
      </c>
      <c r="E16" s="33">
        <v>43309</v>
      </c>
      <c r="F16" s="33">
        <v>40690</v>
      </c>
      <c r="G16" s="33">
        <v>37851</v>
      </c>
    </row>
    <row r="17" spans="1:7" s="7" customFormat="1" ht="12" customHeight="1" x14ac:dyDescent="0.15">
      <c r="A17" s="7">
        <f t="shared" si="0"/>
        <v>16</v>
      </c>
      <c r="B17" s="36" t="s">
        <v>98</v>
      </c>
      <c r="C17" s="32">
        <v>31424</v>
      </c>
      <c r="D17" s="33">
        <v>33544</v>
      </c>
      <c r="E17" s="33">
        <v>32171</v>
      </c>
      <c r="F17" s="33">
        <v>33797</v>
      </c>
      <c r="G17" s="33">
        <v>32268</v>
      </c>
    </row>
    <row r="18" spans="1:7" s="7" customFormat="1" ht="12" customHeight="1" x14ac:dyDescent="0.15">
      <c r="A18" s="7">
        <f t="shared" si="0"/>
        <v>17</v>
      </c>
      <c r="B18" s="36" t="s">
        <v>99</v>
      </c>
      <c r="C18" s="32">
        <v>34140</v>
      </c>
      <c r="D18" s="33">
        <v>43735</v>
      </c>
      <c r="E18" s="33">
        <v>39803</v>
      </c>
      <c r="F18" s="33">
        <v>39048</v>
      </c>
      <c r="G18" s="33">
        <v>37623</v>
      </c>
    </row>
    <row r="19" spans="1:7" s="7" customFormat="1" ht="12" customHeight="1" x14ac:dyDescent="0.15">
      <c r="A19" s="7">
        <f t="shared" si="0"/>
        <v>18</v>
      </c>
      <c r="B19" s="36" t="s">
        <v>100</v>
      </c>
      <c r="C19" s="32">
        <v>45383</v>
      </c>
      <c r="D19" s="33">
        <v>43144</v>
      </c>
      <c r="E19" s="33">
        <v>41073</v>
      </c>
      <c r="F19" s="33">
        <v>40871</v>
      </c>
      <c r="G19" s="33">
        <v>40740</v>
      </c>
    </row>
    <row r="20" spans="1:7" s="7" customFormat="1" ht="12" customHeight="1" x14ac:dyDescent="0.15">
      <c r="A20" s="7">
        <f t="shared" si="0"/>
        <v>19</v>
      </c>
      <c r="B20" s="36" t="s">
        <v>101</v>
      </c>
      <c r="C20" s="32">
        <v>9231</v>
      </c>
      <c r="D20" s="33">
        <v>12203</v>
      </c>
      <c r="E20" s="33">
        <v>11794</v>
      </c>
      <c r="F20" s="33">
        <v>11253</v>
      </c>
      <c r="G20" s="33">
        <v>11357</v>
      </c>
    </row>
    <row r="21" spans="1:7" s="7" customFormat="1" ht="12" customHeight="1" x14ac:dyDescent="0.15">
      <c r="A21" s="7">
        <f t="shared" si="0"/>
        <v>20</v>
      </c>
      <c r="B21" s="36" t="s">
        <v>102</v>
      </c>
      <c r="C21" s="32">
        <v>35552</v>
      </c>
      <c r="D21" s="33">
        <v>51104</v>
      </c>
      <c r="E21" s="33">
        <v>47460</v>
      </c>
      <c r="F21" s="33">
        <v>46143</v>
      </c>
      <c r="G21" s="33">
        <v>44767</v>
      </c>
    </row>
    <row r="22" spans="1:7" s="7" customFormat="1" ht="12" customHeight="1" x14ac:dyDescent="0.15">
      <c r="A22" s="7">
        <f t="shared" si="0"/>
        <v>21</v>
      </c>
      <c r="B22" s="36" t="s">
        <v>103</v>
      </c>
      <c r="C22" s="32">
        <v>66044</v>
      </c>
      <c r="D22" s="33">
        <v>76857</v>
      </c>
      <c r="E22" s="33">
        <v>76631</v>
      </c>
      <c r="F22" s="33">
        <v>74982</v>
      </c>
      <c r="G22" s="33">
        <v>73189</v>
      </c>
    </row>
    <row r="23" spans="1:7" s="7" customFormat="1" ht="12" customHeight="1" x14ac:dyDescent="0.15">
      <c r="A23" s="7">
        <f t="shared" si="0"/>
        <v>22</v>
      </c>
      <c r="B23" s="36" t="s">
        <v>104</v>
      </c>
      <c r="C23" s="32">
        <v>84998</v>
      </c>
      <c r="D23" s="33">
        <v>101063</v>
      </c>
      <c r="E23" s="33">
        <v>91499</v>
      </c>
      <c r="F23" s="33">
        <v>89320</v>
      </c>
      <c r="G23" s="33">
        <v>89224</v>
      </c>
    </row>
    <row r="24" spans="1:7" s="7" customFormat="1" ht="12" customHeight="1" x14ac:dyDescent="0.15">
      <c r="A24" s="7">
        <f t="shared" si="0"/>
        <v>23</v>
      </c>
      <c r="B24" s="36" t="s">
        <v>105</v>
      </c>
      <c r="C24" s="32">
        <v>63893</v>
      </c>
      <c r="D24" s="33">
        <v>55723</v>
      </c>
      <c r="E24" s="33">
        <v>47946</v>
      </c>
      <c r="F24" s="33">
        <v>46249</v>
      </c>
      <c r="G24" s="33">
        <v>45323</v>
      </c>
    </row>
    <row r="25" spans="1:7" s="7" customFormat="1" ht="12" customHeight="1" x14ac:dyDescent="0.15">
      <c r="A25" s="7">
        <f t="shared" si="0"/>
        <v>24</v>
      </c>
      <c r="B25" s="36" t="s">
        <v>106</v>
      </c>
      <c r="C25" s="32">
        <v>30356</v>
      </c>
      <c r="D25" s="33">
        <v>37034</v>
      </c>
      <c r="E25" s="33">
        <v>33579</v>
      </c>
      <c r="F25" s="33">
        <v>31376</v>
      </c>
      <c r="G25" s="33">
        <v>31185</v>
      </c>
    </row>
    <row r="26" spans="1:7" s="7" customFormat="1" ht="12" customHeight="1" x14ac:dyDescent="0.15">
      <c r="A26" s="7">
        <f t="shared" si="0"/>
        <v>25</v>
      </c>
      <c r="B26" s="36" t="s">
        <v>107</v>
      </c>
      <c r="C26" s="32">
        <v>48639</v>
      </c>
      <c r="D26" s="33">
        <v>64381</v>
      </c>
      <c r="E26" s="33">
        <v>60926</v>
      </c>
      <c r="F26" s="33">
        <v>57716</v>
      </c>
      <c r="G26" s="33">
        <v>54660</v>
      </c>
    </row>
    <row r="27" spans="1:7" s="7" customFormat="1" ht="12" customHeight="1" x14ac:dyDescent="0.15">
      <c r="A27" s="7">
        <f t="shared" si="0"/>
        <v>26</v>
      </c>
      <c r="B27" s="36" t="s">
        <v>108</v>
      </c>
      <c r="C27" s="32">
        <v>7771</v>
      </c>
      <c r="D27" s="33">
        <v>9959</v>
      </c>
      <c r="E27" s="33">
        <v>8924</v>
      </c>
      <c r="F27" s="33">
        <v>8887</v>
      </c>
      <c r="G27" s="33">
        <v>8749</v>
      </c>
    </row>
    <row r="28" spans="1:7" s="7" customFormat="1" ht="12" customHeight="1" x14ac:dyDescent="0.15">
      <c r="A28" s="7">
        <f t="shared" si="0"/>
        <v>27</v>
      </c>
      <c r="B28" s="36" t="s">
        <v>109</v>
      </c>
      <c r="C28" s="32">
        <v>19027</v>
      </c>
      <c r="D28" s="33">
        <v>19284</v>
      </c>
      <c r="E28" s="33">
        <v>18789</v>
      </c>
      <c r="F28" s="33">
        <v>18372</v>
      </c>
      <c r="G28" s="33">
        <v>18092</v>
      </c>
    </row>
    <row r="29" spans="1:7" s="7" customFormat="1" ht="12" customHeight="1" x14ac:dyDescent="0.15">
      <c r="A29" s="7">
        <f t="shared" si="0"/>
        <v>28</v>
      </c>
      <c r="B29" s="36" t="s">
        <v>110</v>
      </c>
      <c r="C29" s="32">
        <v>10490</v>
      </c>
      <c r="D29" s="33">
        <v>18572</v>
      </c>
      <c r="E29" s="33">
        <v>16388</v>
      </c>
      <c r="F29" s="33">
        <v>16337</v>
      </c>
      <c r="G29" s="33">
        <v>15917</v>
      </c>
    </row>
    <row r="30" spans="1:7" s="7" customFormat="1" ht="12" customHeight="1" x14ac:dyDescent="0.15">
      <c r="A30" s="7">
        <f t="shared" si="0"/>
        <v>29</v>
      </c>
      <c r="B30" s="36" t="s">
        <v>111</v>
      </c>
      <c r="C30" s="32">
        <v>13143</v>
      </c>
      <c r="D30" s="33">
        <v>13613</v>
      </c>
      <c r="E30" s="33">
        <v>14012</v>
      </c>
      <c r="F30" s="33">
        <v>15378</v>
      </c>
      <c r="G30" s="33">
        <v>17097</v>
      </c>
    </row>
    <row r="31" spans="1:7" s="7" customFormat="1" ht="12" customHeight="1" x14ac:dyDescent="0.15">
      <c r="A31" s="7">
        <f t="shared" si="0"/>
        <v>30</v>
      </c>
      <c r="B31" s="36" t="s">
        <v>112</v>
      </c>
      <c r="C31" s="32">
        <v>52233</v>
      </c>
      <c r="D31" s="33">
        <v>71296</v>
      </c>
      <c r="E31" s="33">
        <v>68072</v>
      </c>
      <c r="F31" s="33">
        <v>67144</v>
      </c>
      <c r="G31" s="33">
        <v>65232</v>
      </c>
    </row>
    <row r="32" spans="1:7" s="7" customFormat="1" ht="12" customHeight="1" x14ac:dyDescent="0.15">
      <c r="A32" s="7">
        <f t="shared" si="0"/>
        <v>31</v>
      </c>
      <c r="B32" s="36" t="s">
        <v>113</v>
      </c>
      <c r="C32" s="32">
        <v>15261</v>
      </c>
      <c r="D32" s="33">
        <v>22353</v>
      </c>
      <c r="E32" s="33">
        <v>19581</v>
      </c>
      <c r="F32" s="33">
        <v>17311</v>
      </c>
      <c r="G32" s="33">
        <v>18045</v>
      </c>
    </row>
    <row r="33" spans="1:7" s="7" customFormat="1" ht="12" customHeight="1" x14ac:dyDescent="0.15">
      <c r="A33" s="7">
        <f t="shared" si="0"/>
        <v>32</v>
      </c>
      <c r="B33" s="36" t="s">
        <v>114</v>
      </c>
      <c r="C33" s="32">
        <v>168181</v>
      </c>
      <c r="D33" s="33">
        <v>197849</v>
      </c>
      <c r="E33" s="33">
        <v>190580</v>
      </c>
      <c r="F33" s="33">
        <v>189419</v>
      </c>
      <c r="G33" s="33">
        <v>187059</v>
      </c>
    </row>
    <row r="34" spans="1:7" s="7" customFormat="1" ht="12" customHeight="1" x14ac:dyDescent="0.15">
      <c r="A34" s="7">
        <f t="shared" si="0"/>
        <v>33</v>
      </c>
      <c r="B34" s="36" t="s">
        <v>115</v>
      </c>
      <c r="C34" s="32">
        <v>69343</v>
      </c>
      <c r="D34" s="33">
        <v>92627</v>
      </c>
      <c r="E34" s="33">
        <v>94485</v>
      </c>
      <c r="F34" s="33">
        <v>92331</v>
      </c>
      <c r="G34" s="33">
        <v>88995</v>
      </c>
    </row>
    <row r="35" spans="1:7" s="7" customFormat="1" ht="12" customHeight="1" x14ac:dyDescent="0.15">
      <c r="A35" s="7">
        <f t="shared" si="0"/>
        <v>34</v>
      </c>
      <c r="B35" s="36" t="s">
        <v>116</v>
      </c>
      <c r="C35" s="32">
        <v>8929</v>
      </c>
      <c r="D35" s="33">
        <v>9073</v>
      </c>
      <c r="E35" s="33">
        <v>8741</v>
      </c>
      <c r="F35" s="33">
        <v>8565</v>
      </c>
      <c r="G35" s="33">
        <v>8606</v>
      </c>
    </row>
    <row r="36" spans="1:7" s="7" customFormat="1" ht="12" customHeight="1" x14ac:dyDescent="0.15">
      <c r="A36" s="7">
        <f t="shared" si="0"/>
        <v>35</v>
      </c>
      <c r="B36" s="36" t="s">
        <v>117</v>
      </c>
      <c r="C36" s="32">
        <v>98823</v>
      </c>
      <c r="D36" s="33">
        <v>123063</v>
      </c>
      <c r="E36" s="33">
        <v>106917</v>
      </c>
      <c r="F36" s="33">
        <v>102731</v>
      </c>
      <c r="G36" s="33">
        <v>100029</v>
      </c>
    </row>
    <row r="37" spans="1:7" s="7" customFormat="1" ht="12" customHeight="1" x14ac:dyDescent="0.15">
      <c r="A37" s="7">
        <f t="shared" si="0"/>
        <v>36</v>
      </c>
      <c r="B37" s="36" t="s">
        <v>118</v>
      </c>
      <c r="C37" s="32">
        <v>35094</v>
      </c>
      <c r="D37" s="33">
        <v>39107</v>
      </c>
      <c r="E37" s="33">
        <v>36724</v>
      </c>
      <c r="F37" s="33">
        <v>36170</v>
      </c>
      <c r="G37" s="33">
        <v>36371</v>
      </c>
    </row>
    <row r="38" spans="1:7" s="7" customFormat="1" ht="12" customHeight="1" x14ac:dyDescent="0.15">
      <c r="A38" s="7">
        <f t="shared" si="0"/>
        <v>37</v>
      </c>
      <c r="B38" s="36" t="s">
        <v>119</v>
      </c>
      <c r="C38" s="32">
        <v>26946</v>
      </c>
      <c r="D38" s="33">
        <v>35442</v>
      </c>
      <c r="E38" s="33">
        <v>31638</v>
      </c>
      <c r="F38" s="33">
        <v>29640</v>
      </c>
      <c r="G38" s="33">
        <v>30765</v>
      </c>
    </row>
    <row r="39" spans="1:7" s="7" customFormat="1" ht="12" customHeight="1" x14ac:dyDescent="0.15">
      <c r="A39" s="7">
        <f t="shared" si="0"/>
        <v>38</v>
      </c>
      <c r="B39" s="36" t="s">
        <v>120</v>
      </c>
      <c r="C39" s="32">
        <v>125578</v>
      </c>
      <c r="D39" s="33">
        <v>144184</v>
      </c>
      <c r="E39" s="33">
        <v>131265</v>
      </c>
      <c r="F39" s="33">
        <v>131493</v>
      </c>
      <c r="G39" s="33">
        <v>126933</v>
      </c>
    </row>
    <row r="40" spans="1:7" s="7" customFormat="1" ht="12" customHeight="1" x14ac:dyDescent="0.15">
      <c r="A40" s="7">
        <f t="shared" si="0"/>
        <v>39</v>
      </c>
      <c r="B40" s="36" t="s">
        <v>121</v>
      </c>
      <c r="C40" s="32">
        <v>13789</v>
      </c>
      <c r="D40" s="33">
        <v>15698</v>
      </c>
      <c r="E40" s="33">
        <v>15494</v>
      </c>
      <c r="F40" s="33">
        <v>15447</v>
      </c>
      <c r="G40" s="33">
        <v>15004</v>
      </c>
    </row>
    <row r="41" spans="1:7" s="7" customFormat="1" ht="12" customHeight="1" x14ac:dyDescent="0.15">
      <c r="A41" s="7">
        <f t="shared" si="0"/>
        <v>40</v>
      </c>
      <c r="B41" s="36" t="s">
        <v>122</v>
      </c>
      <c r="C41" s="32">
        <v>32353</v>
      </c>
      <c r="D41" s="33">
        <v>47535</v>
      </c>
      <c r="E41" s="33">
        <v>47965</v>
      </c>
      <c r="F41" s="33">
        <v>47164</v>
      </c>
      <c r="G41" s="33">
        <v>46080</v>
      </c>
    </row>
    <row r="42" spans="1:7" s="7" customFormat="1" ht="12" customHeight="1" x14ac:dyDescent="0.15">
      <c r="A42" s="7">
        <f t="shared" si="0"/>
        <v>41</v>
      </c>
      <c r="B42" s="36" t="s">
        <v>123</v>
      </c>
      <c r="C42" s="32">
        <v>8597</v>
      </c>
      <c r="D42" s="33">
        <v>10074</v>
      </c>
      <c r="E42" s="33">
        <v>9264</v>
      </c>
      <c r="F42" s="33">
        <v>8372</v>
      </c>
      <c r="G42" s="33">
        <v>8473</v>
      </c>
    </row>
    <row r="43" spans="1:7" s="7" customFormat="1" ht="12" customHeight="1" x14ac:dyDescent="0.15">
      <c r="A43" s="7">
        <f t="shared" si="0"/>
        <v>42</v>
      </c>
      <c r="B43" s="36" t="s">
        <v>124</v>
      </c>
      <c r="C43" s="32">
        <v>43327</v>
      </c>
      <c r="D43" s="33">
        <v>59279</v>
      </c>
      <c r="E43" s="33">
        <v>54766</v>
      </c>
      <c r="F43" s="33">
        <v>53074</v>
      </c>
      <c r="G43" s="33">
        <v>56498</v>
      </c>
    </row>
    <row r="44" spans="1:7" s="7" customFormat="1" ht="12" customHeight="1" x14ac:dyDescent="0.15">
      <c r="A44" s="7">
        <f t="shared" si="0"/>
        <v>43</v>
      </c>
      <c r="B44" s="36" t="s">
        <v>125</v>
      </c>
      <c r="C44" s="32">
        <v>181813</v>
      </c>
      <c r="D44" s="33">
        <v>228503</v>
      </c>
      <c r="E44" s="33">
        <v>237993</v>
      </c>
      <c r="F44" s="33">
        <v>238283</v>
      </c>
      <c r="G44" s="33">
        <v>234131</v>
      </c>
    </row>
    <row r="45" spans="1:7" s="7" customFormat="1" ht="12" customHeight="1" x14ac:dyDescent="0.15">
      <c r="A45" s="7">
        <f t="shared" si="0"/>
        <v>44</v>
      </c>
      <c r="B45" s="36" t="s">
        <v>126</v>
      </c>
      <c r="C45" s="32">
        <v>24953</v>
      </c>
      <c r="D45" s="33">
        <v>35126</v>
      </c>
      <c r="E45" s="33">
        <v>27440</v>
      </c>
      <c r="F45" s="33">
        <v>28221</v>
      </c>
      <c r="G45" s="33">
        <v>31884</v>
      </c>
    </row>
    <row r="46" spans="1:7" s="7" customFormat="1" ht="12" customHeight="1" x14ac:dyDescent="0.15">
      <c r="A46" s="7">
        <f t="shared" si="0"/>
        <v>45</v>
      </c>
      <c r="B46" s="36" t="s">
        <v>127</v>
      </c>
      <c r="C46" s="32">
        <v>6810</v>
      </c>
      <c r="D46" s="33">
        <v>8242</v>
      </c>
      <c r="E46" s="33">
        <v>7672</v>
      </c>
      <c r="F46" s="33">
        <v>7525</v>
      </c>
      <c r="G46" s="33">
        <v>7202</v>
      </c>
    </row>
    <row r="47" spans="1:7" s="7" customFormat="1" ht="12" customHeight="1" x14ac:dyDescent="0.15">
      <c r="A47" s="7">
        <f t="shared" si="0"/>
        <v>46</v>
      </c>
      <c r="B47" s="36" t="s">
        <v>128</v>
      </c>
      <c r="C47" s="32">
        <v>52661</v>
      </c>
      <c r="D47" s="33">
        <v>83166</v>
      </c>
      <c r="E47" s="33">
        <v>83288</v>
      </c>
      <c r="F47" s="33">
        <v>81473</v>
      </c>
      <c r="G47" s="33">
        <v>80362</v>
      </c>
    </row>
    <row r="48" spans="1:7" s="7" customFormat="1" ht="12" customHeight="1" x14ac:dyDescent="0.15">
      <c r="A48" s="7">
        <f t="shared" si="0"/>
        <v>47</v>
      </c>
      <c r="B48" s="36" t="s">
        <v>129</v>
      </c>
      <c r="C48" s="32">
        <v>36287</v>
      </c>
      <c r="D48" s="33">
        <v>41124</v>
      </c>
      <c r="E48" s="33">
        <v>41942</v>
      </c>
      <c r="F48" s="33">
        <v>42543</v>
      </c>
      <c r="G48" s="33">
        <v>46370</v>
      </c>
    </row>
    <row r="49" spans="1:7" s="7" customFormat="1" ht="12" customHeight="1" x14ac:dyDescent="0.15">
      <c r="A49" s="7">
        <f t="shared" si="0"/>
        <v>48</v>
      </c>
      <c r="B49" s="36" t="s">
        <v>130</v>
      </c>
      <c r="C49" s="32">
        <v>15659</v>
      </c>
      <c r="D49" s="33">
        <v>23020</v>
      </c>
      <c r="E49" s="33">
        <v>24760</v>
      </c>
      <c r="F49" s="33">
        <v>22357</v>
      </c>
      <c r="G49" s="33">
        <v>18866</v>
      </c>
    </row>
    <row r="50" spans="1:7" s="7" customFormat="1" ht="12" customHeight="1" x14ac:dyDescent="0.15">
      <c r="A50" s="7">
        <f t="shared" si="0"/>
        <v>49</v>
      </c>
      <c r="B50" s="36" t="s">
        <v>131</v>
      </c>
      <c r="C50" s="32">
        <v>53662</v>
      </c>
      <c r="D50" s="33">
        <v>61249</v>
      </c>
      <c r="E50" s="33">
        <v>54379</v>
      </c>
      <c r="F50" s="33">
        <v>52467</v>
      </c>
      <c r="G50" s="33">
        <v>50978</v>
      </c>
    </row>
    <row r="51" spans="1:7" s="7" customFormat="1" ht="12" customHeight="1" x14ac:dyDescent="0.15">
      <c r="A51" s="7">
        <f t="shared" si="0"/>
        <v>50</v>
      </c>
      <c r="B51" s="36" t="s">
        <v>132</v>
      </c>
      <c r="C51" s="32">
        <v>4209</v>
      </c>
      <c r="D51" s="33">
        <v>6042</v>
      </c>
      <c r="E51" s="33">
        <v>5108</v>
      </c>
      <c r="F51" s="33">
        <v>4681</v>
      </c>
      <c r="G51" s="33">
        <v>5210</v>
      </c>
    </row>
    <row r="52" spans="1:7" ht="12" customHeight="1" x14ac:dyDescent="0.25">
      <c r="B52" s="28"/>
    </row>
  </sheetData>
  <pageMargins left="0.75" right="0.75" top="1" bottom="1" header="0.5" footer="0.5"/>
  <pageSetup scale="70" fitToHeight="2" orientation="landscape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  <rowBreaks count="1" manualBreakCount="1">
    <brk id="40" min="1" max="2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772C-53C8-4F9D-ABA2-B36B7DAF473A}">
  <sheetPr syncVertical="1" syncRef="A1" transitionEvaluation="1"/>
  <dimension ref="A1:Z91"/>
  <sheetViews>
    <sheetView showGridLines="0" zoomScaleNormal="100" workbookViewId="0">
      <selection sqref="A1:Z1"/>
    </sheetView>
  </sheetViews>
  <sheetFormatPr defaultColWidth="9.625" defaultRowHeight="12" customHeight="1" x14ac:dyDescent="0.25"/>
  <cols>
    <col min="1" max="1" width="25.625" style="41" customWidth="1"/>
    <col min="2" max="3" width="10.875" style="41" customWidth="1"/>
    <col min="4" max="4" width="3.125" style="41" customWidth="1"/>
    <col min="5" max="16" width="10.875" style="41" customWidth="1"/>
    <col min="17" max="17" width="10.375" style="41" customWidth="1"/>
    <col min="18" max="20" width="10.875" style="41" customWidth="1"/>
    <col min="21" max="21" width="10.375" style="41" customWidth="1"/>
    <col min="22" max="25" width="10.875" style="41" customWidth="1"/>
    <col min="26" max="26" width="8.125" style="41" customWidth="1"/>
    <col min="27" max="16384" width="9.625" style="41"/>
  </cols>
  <sheetData>
    <row r="1" spans="1:26" s="37" customFormat="1" ht="13.5" customHeight="1" x14ac:dyDescent="0.25">
      <c r="A1" s="140" t="s">
        <v>138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6" s="37" customFormat="1" ht="12.95" customHeight="1" x14ac:dyDescent="0.25">
      <c r="A2" s="141" t="s">
        <v>139</v>
      </c>
      <c r="B2" s="143" t="s">
        <v>140</v>
      </c>
      <c r="C2" s="144"/>
      <c r="D2" s="144"/>
      <c r="E2" s="144"/>
      <c r="F2" s="144"/>
      <c r="G2" s="144"/>
      <c r="H2" s="144"/>
      <c r="I2" s="145"/>
      <c r="J2" s="143" t="s">
        <v>141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 ht="66.75" customHeight="1" x14ac:dyDescent="0.25">
      <c r="A3" s="142"/>
      <c r="B3" s="38" t="s">
        <v>142</v>
      </c>
      <c r="C3" s="146" t="s">
        <v>143</v>
      </c>
      <c r="D3" s="147"/>
      <c r="E3" s="39" t="s">
        <v>144</v>
      </c>
      <c r="F3" s="38" t="s">
        <v>145</v>
      </c>
      <c r="G3" s="38" t="s">
        <v>146</v>
      </c>
      <c r="H3" s="39" t="s">
        <v>147</v>
      </c>
      <c r="I3" s="39" t="s">
        <v>148</v>
      </c>
      <c r="J3" s="39" t="s">
        <v>149</v>
      </c>
      <c r="K3" s="38" t="s">
        <v>150</v>
      </c>
      <c r="L3" s="39" t="s">
        <v>151</v>
      </c>
      <c r="M3" s="39" t="s">
        <v>152</v>
      </c>
      <c r="N3" s="39" t="s">
        <v>153</v>
      </c>
      <c r="O3" s="38" t="s">
        <v>154</v>
      </c>
      <c r="P3" s="38" t="s">
        <v>155</v>
      </c>
      <c r="Q3" s="38" t="s">
        <v>156</v>
      </c>
      <c r="R3" s="38" t="s">
        <v>157</v>
      </c>
      <c r="S3" s="38" t="s">
        <v>158</v>
      </c>
      <c r="T3" s="38" t="s">
        <v>159</v>
      </c>
      <c r="U3" s="38" t="s">
        <v>160</v>
      </c>
      <c r="V3" s="38" t="s">
        <v>161</v>
      </c>
      <c r="W3" s="38" t="s">
        <v>162</v>
      </c>
      <c r="X3" s="38" t="s">
        <v>163</v>
      </c>
      <c r="Y3" s="38" t="s">
        <v>164</v>
      </c>
      <c r="Z3" s="40" t="s">
        <v>165</v>
      </c>
    </row>
    <row r="4" spans="1:26" s="49" customFormat="1" ht="12" customHeight="1" x14ac:dyDescent="0.15">
      <c r="A4" s="42">
        <v>1</v>
      </c>
      <c r="B4" s="43">
        <v>2</v>
      </c>
      <c r="C4" s="148">
        <v>3</v>
      </c>
      <c r="D4" s="149"/>
      <c r="E4" s="45">
        <v>4</v>
      </c>
      <c r="F4" s="46">
        <v>5</v>
      </c>
      <c r="G4" s="44">
        <v>6</v>
      </c>
      <c r="H4" s="45">
        <v>7</v>
      </c>
      <c r="I4" s="47">
        <v>8</v>
      </c>
      <c r="J4" s="47">
        <v>9</v>
      </c>
      <c r="K4" s="47">
        <v>10</v>
      </c>
      <c r="L4" s="47">
        <v>11</v>
      </c>
      <c r="M4" s="46">
        <v>12</v>
      </c>
      <c r="N4" s="46">
        <v>13</v>
      </c>
      <c r="O4" s="45">
        <v>14</v>
      </c>
      <c r="P4" s="45">
        <v>15</v>
      </c>
      <c r="Q4" s="45">
        <v>16</v>
      </c>
      <c r="R4" s="45">
        <v>17</v>
      </c>
      <c r="S4" s="45">
        <v>18</v>
      </c>
      <c r="T4" s="45">
        <v>19</v>
      </c>
      <c r="U4" s="45">
        <v>20</v>
      </c>
      <c r="V4" s="45">
        <v>21</v>
      </c>
      <c r="W4" s="45">
        <v>22</v>
      </c>
      <c r="X4" s="46">
        <v>23</v>
      </c>
      <c r="Y4" s="46">
        <v>24</v>
      </c>
      <c r="Z4" s="48">
        <v>25</v>
      </c>
    </row>
    <row r="5" spans="1:26" s="55" customFormat="1" ht="15" customHeight="1" x14ac:dyDescent="0.15">
      <c r="A5" s="50" t="s">
        <v>166</v>
      </c>
      <c r="B5" s="51">
        <v>2725285</v>
      </c>
      <c r="C5" s="52">
        <v>2320337</v>
      </c>
      <c r="D5" s="53" t="s">
        <v>167</v>
      </c>
      <c r="E5" s="51">
        <v>2553844</v>
      </c>
      <c r="F5" s="52">
        <v>3128022</v>
      </c>
      <c r="G5" s="52">
        <v>3144100</v>
      </c>
      <c r="H5" s="52">
        <v>3149185</v>
      </c>
      <c r="I5" s="51">
        <v>3169257</v>
      </c>
      <c r="J5" s="51">
        <v>3168450</v>
      </c>
      <c r="K5" s="52">
        <v>3187000</v>
      </c>
      <c r="L5" s="51">
        <v>3224140</v>
      </c>
      <c r="M5" s="51">
        <v>3255320</v>
      </c>
      <c r="N5" s="52">
        <v>3319760</v>
      </c>
      <c r="O5" s="52">
        <v>3331520</v>
      </c>
      <c r="P5" s="52">
        <v>3303890</v>
      </c>
      <c r="Q5" s="52">
        <v>3330840</v>
      </c>
      <c r="R5" s="52">
        <v>3354240</v>
      </c>
      <c r="S5" s="52">
        <v>3372640</v>
      </c>
      <c r="T5" s="52">
        <v>3441920</v>
      </c>
      <c r="U5" s="52">
        <v>3492860</v>
      </c>
      <c r="V5" s="52">
        <v>3497750</v>
      </c>
      <c r="W5" s="52">
        <v>3416680</v>
      </c>
      <c r="X5" s="51">
        <v>3348520</v>
      </c>
      <c r="Y5" s="51">
        <v>3361890</v>
      </c>
      <c r="Z5" s="54">
        <v>6.0781438677898318</v>
      </c>
    </row>
    <row r="6" spans="1:26" s="55" customFormat="1" ht="12" customHeight="1" x14ac:dyDescent="0.15">
      <c r="A6" s="50" t="s">
        <v>168</v>
      </c>
      <c r="B6" s="56"/>
      <c r="C6" s="57"/>
      <c r="D6" s="56"/>
      <c r="E6" s="56"/>
      <c r="F6" s="56"/>
      <c r="G6" s="56"/>
      <c r="H6" s="56"/>
      <c r="I6" s="58"/>
      <c r="J6" s="58"/>
      <c r="K6" s="56"/>
      <c r="L6" s="58"/>
      <c r="M6" s="58"/>
      <c r="N6" s="58"/>
      <c r="O6" s="56"/>
      <c r="P6" s="56"/>
      <c r="Q6" s="56"/>
      <c r="R6" s="56"/>
      <c r="S6" s="56"/>
      <c r="T6" s="56"/>
      <c r="U6" s="56"/>
      <c r="V6" s="56"/>
      <c r="W6" s="56"/>
      <c r="X6" s="58"/>
      <c r="Y6" s="58"/>
      <c r="Z6" s="59"/>
    </row>
    <row r="7" spans="1:26" s="55" customFormat="1" ht="12" customHeight="1" x14ac:dyDescent="0.15">
      <c r="A7" s="60" t="s">
        <v>169</v>
      </c>
      <c r="B7" s="61">
        <v>593727</v>
      </c>
      <c r="C7" s="62">
        <v>446045</v>
      </c>
      <c r="D7" s="56"/>
      <c r="E7" s="61">
        <v>453814</v>
      </c>
      <c r="F7" s="62">
        <v>556400</v>
      </c>
      <c r="G7" s="62">
        <v>556611</v>
      </c>
      <c r="H7" s="62">
        <v>554705</v>
      </c>
      <c r="I7" s="61">
        <v>555202</v>
      </c>
      <c r="J7" s="62">
        <v>546910</v>
      </c>
      <c r="K7" s="62">
        <v>543080</v>
      </c>
      <c r="L7" s="61">
        <v>545820</v>
      </c>
      <c r="M7" s="61">
        <v>551480</v>
      </c>
      <c r="N7" s="62">
        <v>554810</v>
      </c>
      <c r="O7" s="62">
        <v>548330</v>
      </c>
      <c r="P7" s="62">
        <v>540460</v>
      </c>
      <c r="Q7" s="62">
        <v>545870</v>
      </c>
      <c r="R7" s="62">
        <v>546630</v>
      </c>
      <c r="S7" s="62">
        <v>543610</v>
      </c>
      <c r="T7" s="62">
        <v>549770</v>
      </c>
      <c r="U7" s="62">
        <v>558550</v>
      </c>
      <c r="V7" s="62">
        <v>554750</v>
      </c>
      <c r="W7" s="62">
        <v>544040</v>
      </c>
      <c r="X7" s="61">
        <v>534770</v>
      </c>
      <c r="Y7" s="61">
        <v>535430</v>
      </c>
      <c r="Z7" s="63">
        <v>-3.5605059059585518</v>
      </c>
    </row>
    <row r="8" spans="1:26" s="55" customFormat="1" ht="12" customHeight="1" x14ac:dyDescent="0.15">
      <c r="A8" s="60" t="s">
        <v>170</v>
      </c>
      <c r="B8" s="61">
        <v>784071</v>
      </c>
      <c r="C8" s="62">
        <v>616700</v>
      </c>
      <c r="D8" s="56"/>
      <c r="E8" s="61">
        <v>648020</v>
      </c>
      <c r="F8" s="62">
        <v>726844</v>
      </c>
      <c r="G8" s="62">
        <v>718779</v>
      </c>
      <c r="H8" s="62">
        <v>716072</v>
      </c>
      <c r="I8" s="61">
        <v>713662</v>
      </c>
      <c r="J8" s="62">
        <v>705550</v>
      </c>
      <c r="K8" s="62">
        <v>708240</v>
      </c>
      <c r="L8" s="61">
        <v>714040</v>
      </c>
      <c r="M8" s="61">
        <v>719240</v>
      </c>
      <c r="N8" s="62">
        <v>723280</v>
      </c>
      <c r="O8" s="62">
        <v>724260</v>
      </c>
      <c r="P8" s="62">
        <v>712420</v>
      </c>
      <c r="Q8" s="62">
        <v>719140</v>
      </c>
      <c r="R8" s="62">
        <v>726350</v>
      </c>
      <c r="S8" s="62">
        <v>719070</v>
      </c>
      <c r="T8" s="62">
        <v>732220</v>
      </c>
      <c r="U8" s="62">
        <v>742610</v>
      </c>
      <c r="V8" s="62">
        <v>740420</v>
      </c>
      <c r="W8" s="62">
        <v>722430</v>
      </c>
      <c r="X8" s="61">
        <v>703170</v>
      </c>
      <c r="Y8" s="61">
        <v>704090</v>
      </c>
      <c r="Z8" s="63">
        <v>-1.3411110581759993</v>
      </c>
    </row>
    <row r="9" spans="1:26" s="55" customFormat="1" ht="12" customHeight="1" x14ac:dyDescent="0.15">
      <c r="A9" s="60" t="s">
        <v>171</v>
      </c>
      <c r="B9" s="61">
        <v>868068</v>
      </c>
      <c r="C9" s="62">
        <v>796385</v>
      </c>
      <c r="D9" s="56"/>
      <c r="E9" s="61">
        <v>861498</v>
      </c>
      <c r="F9" s="62">
        <v>1104770</v>
      </c>
      <c r="G9" s="62">
        <v>1119414</v>
      </c>
      <c r="H9" s="62">
        <v>1121400</v>
      </c>
      <c r="I9" s="61">
        <v>1138965</v>
      </c>
      <c r="J9" s="62">
        <v>1145570</v>
      </c>
      <c r="K9" s="62">
        <v>1162950</v>
      </c>
      <c r="L9" s="61">
        <v>1189220</v>
      </c>
      <c r="M9" s="61">
        <v>1211650</v>
      </c>
      <c r="N9" s="62">
        <v>1252210</v>
      </c>
      <c r="O9" s="62">
        <v>1264620</v>
      </c>
      <c r="P9" s="62">
        <v>1255800</v>
      </c>
      <c r="Q9" s="62">
        <v>1258750</v>
      </c>
      <c r="R9" s="62">
        <v>1267480</v>
      </c>
      <c r="S9" s="62">
        <v>1286540</v>
      </c>
      <c r="T9" s="62">
        <v>1316310</v>
      </c>
      <c r="U9" s="62">
        <v>1350670</v>
      </c>
      <c r="V9" s="62">
        <v>1361840</v>
      </c>
      <c r="W9" s="62">
        <v>1337760</v>
      </c>
      <c r="X9" s="61">
        <v>1296070</v>
      </c>
      <c r="Y9" s="61">
        <v>1307060</v>
      </c>
      <c r="Z9" s="63">
        <v>14.758486871852956</v>
      </c>
    </row>
    <row r="10" spans="1:26" s="55" customFormat="1" ht="12" customHeight="1" x14ac:dyDescent="0.15">
      <c r="A10" s="60" t="s">
        <v>172</v>
      </c>
      <c r="B10" s="61">
        <v>479419</v>
      </c>
      <c r="C10" s="62">
        <v>461207</v>
      </c>
      <c r="D10" s="56"/>
      <c r="E10" s="61">
        <v>590512</v>
      </c>
      <c r="F10" s="62">
        <v>740008</v>
      </c>
      <c r="G10" s="62">
        <v>749296</v>
      </c>
      <c r="H10" s="62">
        <v>757008</v>
      </c>
      <c r="I10" s="61">
        <v>761428</v>
      </c>
      <c r="J10" s="62">
        <v>770420</v>
      </c>
      <c r="K10" s="62">
        <v>772720</v>
      </c>
      <c r="L10" s="61">
        <v>775060</v>
      </c>
      <c r="M10" s="61">
        <v>772950</v>
      </c>
      <c r="N10" s="62">
        <v>789460</v>
      </c>
      <c r="O10" s="62">
        <v>794300</v>
      </c>
      <c r="P10" s="62">
        <v>795210</v>
      </c>
      <c r="Q10" s="62">
        <v>807090</v>
      </c>
      <c r="R10" s="62">
        <v>813780</v>
      </c>
      <c r="S10" s="62">
        <v>823430</v>
      </c>
      <c r="T10" s="62">
        <v>843620</v>
      </c>
      <c r="U10" s="62">
        <v>841020</v>
      </c>
      <c r="V10" s="62">
        <v>840740</v>
      </c>
      <c r="W10" s="62">
        <v>812450</v>
      </c>
      <c r="X10" s="61">
        <v>814520</v>
      </c>
      <c r="Y10" s="61">
        <v>815300</v>
      </c>
      <c r="Z10" s="63">
        <v>7.0755212574268356</v>
      </c>
    </row>
    <row r="11" spans="1:26" s="55" customFormat="1" ht="12" customHeight="1" x14ac:dyDescent="0.15">
      <c r="A11" s="60"/>
      <c r="B11" s="56"/>
      <c r="C11" s="57"/>
      <c r="D11" s="56"/>
      <c r="E11" s="56"/>
      <c r="F11" s="57"/>
      <c r="G11" s="57"/>
      <c r="H11" s="58"/>
      <c r="I11" s="58"/>
      <c r="J11" s="57"/>
      <c r="K11" s="57"/>
      <c r="L11" s="58"/>
      <c r="M11" s="58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8"/>
      <c r="Y11" s="58"/>
      <c r="Z11" s="59"/>
    </row>
    <row r="12" spans="1:26" s="55" customFormat="1" ht="12" customHeight="1" x14ac:dyDescent="0.15">
      <c r="A12" s="50" t="s">
        <v>81</v>
      </c>
      <c r="B12" s="56"/>
      <c r="C12" s="57"/>
      <c r="D12" s="56"/>
      <c r="E12" s="56"/>
      <c r="F12" s="57"/>
      <c r="G12" s="57"/>
      <c r="H12" s="58"/>
      <c r="I12" s="58"/>
      <c r="J12" s="57"/>
      <c r="K12" s="57"/>
      <c r="L12" s="58"/>
      <c r="M12" s="58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8"/>
      <c r="Y12" s="58"/>
      <c r="Z12" s="59"/>
    </row>
    <row r="13" spans="1:26" s="49" customFormat="1" ht="12" customHeight="1" x14ac:dyDescent="0.15">
      <c r="A13" s="60" t="s">
        <v>173</v>
      </c>
      <c r="B13" s="64">
        <v>44894</v>
      </c>
      <c r="C13" s="62">
        <v>40485</v>
      </c>
      <c r="D13" s="64"/>
      <c r="E13" s="64">
        <v>37819</v>
      </c>
      <c r="F13" s="62">
        <v>43166</v>
      </c>
      <c r="G13" s="62">
        <v>46035</v>
      </c>
      <c r="H13" s="62">
        <v>45394</v>
      </c>
      <c r="I13" s="61">
        <v>44233</v>
      </c>
      <c r="J13" s="62">
        <v>44540</v>
      </c>
      <c r="K13" s="62">
        <v>45420</v>
      </c>
      <c r="L13" s="61">
        <v>46070</v>
      </c>
      <c r="M13" s="61">
        <v>47560</v>
      </c>
      <c r="N13" s="62">
        <v>48260</v>
      </c>
      <c r="O13" s="62">
        <v>45740</v>
      </c>
      <c r="P13" s="62">
        <v>44070</v>
      </c>
      <c r="Q13" s="62">
        <v>43490</v>
      </c>
      <c r="R13" s="62">
        <v>43380</v>
      </c>
      <c r="S13" s="62">
        <v>43600</v>
      </c>
      <c r="T13" s="62">
        <v>43870</v>
      </c>
      <c r="U13" s="62">
        <v>45410</v>
      </c>
      <c r="V13" s="62">
        <v>45810</v>
      </c>
      <c r="W13" s="62">
        <v>44770</v>
      </c>
      <c r="X13" s="61">
        <v>42960</v>
      </c>
      <c r="Y13" s="61">
        <v>43610</v>
      </c>
      <c r="Z13" s="63">
        <v>-1.412972215314358</v>
      </c>
    </row>
    <row r="14" spans="1:26" s="49" customFormat="1" ht="12" customHeight="1" x14ac:dyDescent="0.15">
      <c r="A14" s="60" t="s">
        <v>174</v>
      </c>
      <c r="B14" s="64">
        <v>5343</v>
      </c>
      <c r="C14" s="62">
        <v>5386</v>
      </c>
      <c r="D14" s="64"/>
      <c r="E14" s="64">
        <v>6615</v>
      </c>
      <c r="F14" s="62">
        <v>8245</v>
      </c>
      <c r="G14" s="62">
        <v>8064</v>
      </c>
      <c r="H14" s="62">
        <v>7989</v>
      </c>
      <c r="I14" s="61">
        <v>7860</v>
      </c>
      <c r="J14" s="62">
        <v>7720</v>
      </c>
      <c r="K14" s="62">
        <v>7860</v>
      </c>
      <c r="L14" s="61">
        <v>7840</v>
      </c>
      <c r="M14" s="61">
        <v>7910</v>
      </c>
      <c r="N14" s="62">
        <v>8050</v>
      </c>
      <c r="O14" s="62">
        <v>8030</v>
      </c>
      <c r="P14" s="62">
        <v>7840</v>
      </c>
      <c r="Q14" s="62">
        <v>7830</v>
      </c>
      <c r="R14" s="62">
        <v>7930</v>
      </c>
      <c r="S14" s="62">
        <v>8030</v>
      </c>
      <c r="T14" s="62">
        <v>8320</v>
      </c>
      <c r="U14" s="62">
        <v>8580</v>
      </c>
      <c r="V14" s="62">
        <v>8740</v>
      </c>
      <c r="W14" s="62">
        <v>8780</v>
      </c>
      <c r="X14" s="61">
        <v>8660</v>
      </c>
      <c r="Y14" s="61">
        <v>8690</v>
      </c>
      <c r="Z14" s="63">
        <v>10.597964376590332</v>
      </c>
    </row>
    <row r="15" spans="1:26" s="49" customFormat="1" ht="12" customHeight="1" x14ac:dyDescent="0.15">
      <c r="A15" s="60" t="s">
        <v>175</v>
      </c>
      <c r="B15" s="64">
        <v>28416</v>
      </c>
      <c r="C15" s="62">
        <v>32103</v>
      </c>
      <c r="D15" s="64"/>
      <c r="E15" s="64">
        <v>38304</v>
      </c>
      <c r="F15" s="62">
        <v>61145</v>
      </c>
      <c r="G15" s="62">
        <v>64472</v>
      </c>
      <c r="H15" s="62">
        <v>63208</v>
      </c>
      <c r="I15" s="61">
        <v>62208</v>
      </c>
      <c r="J15" s="62">
        <v>66700</v>
      </c>
      <c r="K15" s="62">
        <v>67200</v>
      </c>
      <c r="L15" s="61">
        <v>67120</v>
      </c>
      <c r="M15" s="61">
        <v>68770</v>
      </c>
      <c r="N15" s="62">
        <v>69560</v>
      </c>
      <c r="O15" s="62">
        <v>70710</v>
      </c>
      <c r="P15" s="62">
        <v>69610</v>
      </c>
      <c r="Q15" s="62">
        <v>71070</v>
      </c>
      <c r="R15" s="62">
        <v>70940</v>
      </c>
      <c r="S15" s="62">
        <v>72200</v>
      </c>
      <c r="T15" s="62">
        <v>74230</v>
      </c>
      <c r="U15" s="62">
        <v>76480</v>
      </c>
      <c r="V15" s="62">
        <v>77540</v>
      </c>
      <c r="W15" s="62">
        <v>75780</v>
      </c>
      <c r="X15" s="61">
        <v>72450</v>
      </c>
      <c r="Y15" s="61">
        <v>72560</v>
      </c>
      <c r="Z15" s="63">
        <v>16.642554012345677</v>
      </c>
    </row>
    <row r="16" spans="1:26" s="49" customFormat="1" ht="12" customHeight="1" x14ac:dyDescent="0.15">
      <c r="A16" s="60" t="s">
        <v>176</v>
      </c>
      <c r="B16" s="64">
        <v>29577</v>
      </c>
      <c r="C16" s="62">
        <v>26475</v>
      </c>
      <c r="D16" s="64"/>
      <c r="E16" s="64">
        <v>27335</v>
      </c>
      <c r="F16" s="62">
        <v>28276</v>
      </c>
      <c r="G16" s="62">
        <v>28205</v>
      </c>
      <c r="H16" s="62">
        <v>28419</v>
      </c>
      <c r="I16" s="61">
        <v>28928</v>
      </c>
      <c r="J16" s="62">
        <v>29610</v>
      </c>
      <c r="K16" s="62">
        <v>30350</v>
      </c>
      <c r="L16" s="61">
        <v>30290</v>
      </c>
      <c r="M16" s="61">
        <v>30750</v>
      </c>
      <c r="N16" s="62">
        <v>31020</v>
      </c>
      <c r="O16" s="62">
        <v>31060</v>
      </c>
      <c r="P16" s="62">
        <v>31320</v>
      </c>
      <c r="Q16" s="62">
        <v>30800</v>
      </c>
      <c r="R16" s="62">
        <v>30960</v>
      </c>
      <c r="S16" s="62">
        <v>30940</v>
      </c>
      <c r="T16" s="62">
        <v>30780</v>
      </c>
      <c r="U16" s="62">
        <v>32990</v>
      </c>
      <c r="V16" s="62">
        <v>33030</v>
      </c>
      <c r="W16" s="62">
        <v>32140</v>
      </c>
      <c r="X16" s="61">
        <v>31350</v>
      </c>
      <c r="Y16" s="61">
        <v>31460</v>
      </c>
      <c r="Z16" s="63">
        <v>8.7423949115044248</v>
      </c>
    </row>
    <row r="17" spans="1:26" s="49" customFormat="1" ht="12" customHeight="1" x14ac:dyDescent="0.15">
      <c r="A17" s="60" t="s">
        <v>177</v>
      </c>
      <c r="B17" s="64">
        <v>242172</v>
      </c>
      <c r="C17" s="62">
        <v>236291</v>
      </c>
      <c r="D17" s="64"/>
      <c r="E17" s="64">
        <v>309866</v>
      </c>
      <c r="F17" s="62">
        <v>404987</v>
      </c>
      <c r="G17" s="62">
        <v>410467</v>
      </c>
      <c r="H17" s="62">
        <v>418664</v>
      </c>
      <c r="I17" s="61">
        <v>422125</v>
      </c>
      <c r="J17" s="62">
        <v>424080</v>
      </c>
      <c r="K17" s="62">
        <v>422830</v>
      </c>
      <c r="L17" s="61">
        <v>419190</v>
      </c>
      <c r="M17" s="61">
        <v>411710</v>
      </c>
      <c r="N17" s="62">
        <v>420500</v>
      </c>
      <c r="O17" s="62">
        <v>420780</v>
      </c>
      <c r="P17" s="62">
        <v>421890</v>
      </c>
      <c r="Q17" s="62">
        <v>427540</v>
      </c>
      <c r="R17" s="62">
        <v>430350</v>
      </c>
      <c r="S17" s="62">
        <v>434120</v>
      </c>
      <c r="T17" s="62">
        <v>444030</v>
      </c>
      <c r="U17" s="62">
        <v>429550</v>
      </c>
      <c r="V17" s="62">
        <v>425400</v>
      </c>
      <c r="W17" s="62">
        <v>408150</v>
      </c>
      <c r="X17" s="61">
        <v>418160</v>
      </c>
      <c r="Y17" s="61">
        <v>416950</v>
      </c>
      <c r="Z17" s="63">
        <v>-1.226650873556411</v>
      </c>
    </row>
    <row r="18" spans="1:26" s="49" customFormat="1" ht="12" customHeight="1" x14ac:dyDescent="0.15">
      <c r="A18" s="65"/>
      <c r="B18" s="64"/>
      <c r="C18" s="66" t="s">
        <v>178</v>
      </c>
      <c r="D18" s="67"/>
      <c r="E18" s="67" t="s">
        <v>178</v>
      </c>
      <c r="F18" s="66" t="s">
        <v>178</v>
      </c>
      <c r="G18" s="66" t="s">
        <v>178</v>
      </c>
      <c r="H18" s="66" t="s">
        <v>178</v>
      </c>
      <c r="I18" s="68" t="s">
        <v>178</v>
      </c>
      <c r="J18" s="66"/>
      <c r="K18" s="66"/>
      <c r="L18" s="68"/>
      <c r="M18" s="68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8"/>
      <c r="Y18" s="68"/>
      <c r="Z18" s="63"/>
    </row>
    <row r="19" spans="1:26" s="49" customFormat="1" ht="12" customHeight="1" x14ac:dyDescent="0.15">
      <c r="A19" s="60" t="s">
        <v>179</v>
      </c>
      <c r="B19" s="64">
        <v>35897</v>
      </c>
      <c r="C19" s="62">
        <v>32967</v>
      </c>
      <c r="D19" s="64"/>
      <c r="E19" s="64">
        <v>38924</v>
      </c>
      <c r="F19" s="62">
        <v>49321</v>
      </c>
      <c r="G19" s="62">
        <v>50122</v>
      </c>
      <c r="H19" s="62">
        <v>50087</v>
      </c>
      <c r="I19" s="61">
        <v>50968</v>
      </c>
      <c r="J19" s="62">
        <v>51310</v>
      </c>
      <c r="K19" s="62">
        <v>51450</v>
      </c>
      <c r="L19" s="61">
        <v>53310</v>
      </c>
      <c r="M19" s="61">
        <v>54060</v>
      </c>
      <c r="N19" s="62">
        <v>56050</v>
      </c>
      <c r="O19" s="62">
        <v>57030</v>
      </c>
      <c r="P19" s="62">
        <v>57760</v>
      </c>
      <c r="Q19" s="62">
        <v>59150</v>
      </c>
      <c r="R19" s="62">
        <v>59290</v>
      </c>
      <c r="S19" s="62">
        <v>59790</v>
      </c>
      <c r="T19" s="62">
        <v>61090</v>
      </c>
      <c r="U19" s="62">
        <v>61990</v>
      </c>
      <c r="V19" s="62">
        <v>62170</v>
      </c>
      <c r="W19" s="62">
        <v>60930</v>
      </c>
      <c r="X19" s="61">
        <v>59170</v>
      </c>
      <c r="Y19" s="61">
        <v>59040</v>
      </c>
      <c r="Z19" s="63">
        <v>15.831502118976612</v>
      </c>
    </row>
    <row r="20" spans="1:26" s="49" customFormat="1" ht="12" customHeight="1" x14ac:dyDescent="0.15">
      <c r="A20" s="60" t="s">
        <v>180</v>
      </c>
      <c r="B20" s="64">
        <v>38369</v>
      </c>
      <c r="C20" s="62">
        <v>27878</v>
      </c>
      <c r="D20" s="64"/>
      <c r="E20" s="64">
        <v>31562</v>
      </c>
      <c r="F20" s="62">
        <v>34495</v>
      </c>
      <c r="G20" s="62">
        <v>38854</v>
      </c>
      <c r="H20" s="62">
        <v>38681</v>
      </c>
      <c r="I20" s="61">
        <v>38722</v>
      </c>
      <c r="J20" s="62">
        <v>37860</v>
      </c>
      <c r="K20" s="62">
        <v>37160</v>
      </c>
      <c r="L20" s="61">
        <v>37420</v>
      </c>
      <c r="M20" s="61">
        <v>37890</v>
      </c>
      <c r="N20" s="62">
        <v>37130</v>
      </c>
      <c r="O20" s="62">
        <v>37040</v>
      </c>
      <c r="P20" s="62">
        <v>35980</v>
      </c>
      <c r="Q20" s="62">
        <v>36640</v>
      </c>
      <c r="R20" s="62">
        <v>35810</v>
      </c>
      <c r="S20" s="62">
        <v>35670</v>
      </c>
      <c r="T20" s="62">
        <v>35220</v>
      </c>
      <c r="U20" s="62">
        <v>35550</v>
      </c>
      <c r="V20" s="62">
        <v>34450</v>
      </c>
      <c r="W20" s="62">
        <v>33720</v>
      </c>
      <c r="X20" s="61">
        <v>32860</v>
      </c>
      <c r="Y20" s="61">
        <v>32610</v>
      </c>
      <c r="Z20" s="63">
        <v>-15.786891172976603</v>
      </c>
    </row>
    <row r="21" spans="1:26" s="49" customFormat="1" ht="12" customHeight="1" x14ac:dyDescent="0.15">
      <c r="A21" s="60" t="s">
        <v>181</v>
      </c>
      <c r="B21" s="64">
        <v>7349</v>
      </c>
      <c r="C21" s="69">
        <v>5550</v>
      </c>
      <c r="D21" s="70"/>
      <c r="E21" s="70">
        <v>6108</v>
      </c>
      <c r="F21" s="62">
        <v>8133</v>
      </c>
      <c r="G21" s="62">
        <v>8043</v>
      </c>
      <c r="H21" s="62">
        <v>8247</v>
      </c>
      <c r="I21" s="61">
        <v>8070</v>
      </c>
      <c r="J21" s="62">
        <v>8240</v>
      </c>
      <c r="K21" s="62">
        <v>8390</v>
      </c>
      <c r="L21" s="61">
        <v>8480</v>
      </c>
      <c r="M21" s="61">
        <v>8690</v>
      </c>
      <c r="N21" s="62">
        <v>8930</v>
      </c>
      <c r="O21" s="62">
        <v>9010</v>
      </c>
      <c r="P21" s="62">
        <v>9080</v>
      </c>
      <c r="Q21" s="62">
        <v>9260</v>
      </c>
      <c r="R21" s="62">
        <v>9280</v>
      </c>
      <c r="S21" s="62">
        <v>9500</v>
      </c>
      <c r="T21" s="62">
        <v>9880</v>
      </c>
      <c r="U21" s="62">
        <v>9920</v>
      </c>
      <c r="V21" s="62">
        <v>10240</v>
      </c>
      <c r="W21" s="62">
        <v>10060</v>
      </c>
      <c r="X21" s="61">
        <v>9740</v>
      </c>
      <c r="Y21" s="61">
        <v>9800</v>
      </c>
      <c r="Z21" s="63">
        <v>21.449814126394052</v>
      </c>
    </row>
    <row r="22" spans="1:26" s="49" customFormat="1" ht="12" customHeight="1" x14ac:dyDescent="0.15">
      <c r="A22" s="60" t="s">
        <v>182</v>
      </c>
      <c r="B22" s="64">
        <v>4848</v>
      </c>
      <c r="C22" s="62">
        <v>3626</v>
      </c>
      <c r="D22" s="64"/>
      <c r="E22" s="64">
        <v>2695</v>
      </c>
      <c r="F22" s="62">
        <v>3602</v>
      </c>
      <c r="G22" s="62">
        <v>3477</v>
      </c>
      <c r="H22" s="62">
        <v>3860</v>
      </c>
      <c r="I22" s="61">
        <v>3961</v>
      </c>
      <c r="J22" s="62">
        <v>3880</v>
      </c>
      <c r="K22" s="62">
        <v>3990</v>
      </c>
      <c r="L22" s="61">
        <v>4510</v>
      </c>
      <c r="M22" s="61">
        <v>4430</v>
      </c>
      <c r="N22" s="62">
        <v>4200</v>
      </c>
      <c r="O22" s="62">
        <v>4290</v>
      </c>
      <c r="P22" s="62">
        <v>4270</v>
      </c>
      <c r="Q22" s="62">
        <v>4320</v>
      </c>
      <c r="R22" s="62">
        <v>4310</v>
      </c>
      <c r="S22" s="62">
        <v>4630</v>
      </c>
      <c r="T22" s="62">
        <v>4970</v>
      </c>
      <c r="U22" s="62">
        <v>5520</v>
      </c>
      <c r="V22" s="62">
        <v>5550</v>
      </c>
      <c r="W22" s="62">
        <v>5550</v>
      </c>
      <c r="X22" s="61">
        <v>5640</v>
      </c>
      <c r="Y22" s="61">
        <v>6020</v>
      </c>
      <c r="Z22" s="63">
        <v>51.931330472102999</v>
      </c>
    </row>
    <row r="23" spans="1:26" s="49" customFormat="1" ht="12" customHeight="1" x14ac:dyDescent="0.15">
      <c r="A23" s="60" t="s">
        <v>183</v>
      </c>
      <c r="B23" s="64">
        <v>88755</v>
      </c>
      <c r="C23" s="62">
        <v>88934</v>
      </c>
      <c r="D23" s="64"/>
      <c r="E23" s="64">
        <v>106708</v>
      </c>
      <c r="F23" s="62">
        <v>156130</v>
      </c>
      <c r="G23" s="62">
        <v>155493</v>
      </c>
      <c r="H23" s="62">
        <v>151964</v>
      </c>
      <c r="I23" s="61">
        <v>158029</v>
      </c>
      <c r="J23" s="62">
        <v>158440</v>
      </c>
      <c r="K23" s="62">
        <v>163740</v>
      </c>
      <c r="L23" s="61">
        <v>166540</v>
      </c>
      <c r="M23" s="61">
        <v>170820</v>
      </c>
      <c r="N23" s="62">
        <v>176160</v>
      </c>
      <c r="O23" s="62">
        <v>179520</v>
      </c>
      <c r="P23" s="62">
        <v>175370</v>
      </c>
      <c r="Q23" s="62">
        <v>176380</v>
      </c>
      <c r="R23" s="62">
        <v>179930</v>
      </c>
      <c r="S23" s="62">
        <v>182780</v>
      </c>
      <c r="T23" s="62">
        <v>192590</v>
      </c>
      <c r="U23" s="62">
        <v>190040</v>
      </c>
      <c r="V23" s="62">
        <v>197900</v>
      </c>
      <c r="W23" s="62">
        <v>192690</v>
      </c>
      <c r="X23" s="61">
        <v>187880</v>
      </c>
      <c r="Y23" s="61">
        <v>190410</v>
      </c>
      <c r="Z23" s="63">
        <v>20.490542875041921</v>
      </c>
    </row>
    <row r="24" spans="1:26" s="49" customFormat="1" ht="12" customHeight="1" x14ac:dyDescent="0.15">
      <c r="A24" s="65"/>
      <c r="B24" s="64"/>
      <c r="C24" s="66" t="s">
        <v>178</v>
      </c>
      <c r="D24" s="67"/>
      <c r="E24" s="67" t="s">
        <v>178</v>
      </c>
      <c r="F24" s="66" t="s">
        <v>178</v>
      </c>
      <c r="G24" s="66" t="s">
        <v>178</v>
      </c>
      <c r="H24" s="66" t="s">
        <v>178</v>
      </c>
      <c r="I24" s="68" t="s">
        <v>178</v>
      </c>
      <c r="J24" s="66"/>
      <c r="K24" s="66"/>
      <c r="L24" s="68"/>
      <c r="M24" s="68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8"/>
      <c r="Y24" s="68"/>
      <c r="Z24" s="63"/>
    </row>
    <row r="25" spans="1:26" s="49" customFormat="1" ht="12" customHeight="1" x14ac:dyDescent="0.15">
      <c r="A25" s="60" t="s">
        <v>184</v>
      </c>
      <c r="B25" s="64">
        <v>62963</v>
      </c>
      <c r="C25" s="62">
        <v>56605</v>
      </c>
      <c r="D25" s="64"/>
      <c r="E25" s="64">
        <v>62563</v>
      </c>
      <c r="F25" s="62">
        <v>91561</v>
      </c>
      <c r="G25" s="62">
        <v>92338</v>
      </c>
      <c r="H25" s="62">
        <v>90582</v>
      </c>
      <c r="I25" s="61">
        <v>92416</v>
      </c>
      <c r="J25" s="62">
        <v>94380</v>
      </c>
      <c r="K25" s="62">
        <v>97420</v>
      </c>
      <c r="L25" s="61">
        <v>100070</v>
      </c>
      <c r="M25" s="61">
        <v>102050</v>
      </c>
      <c r="N25" s="62">
        <v>105890</v>
      </c>
      <c r="O25" s="62">
        <v>106920</v>
      </c>
      <c r="P25" s="62">
        <v>105660</v>
      </c>
      <c r="Q25" s="62">
        <v>104900</v>
      </c>
      <c r="R25" s="62">
        <v>106500</v>
      </c>
      <c r="S25" s="62">
        <v>107710</v>
      </c>
      <c r="T25" s="62">
        <v>110270</v>
      </c>
      <c r="U25" s="62">
        <v>112930</v>
      </c>
      <c r="V25" s="62">
        <v>113710</v>
      </c>
      <c r="W25" s="62">
        <v>111370</v>
      </c>
      <c r="X25" s="61">
        <v>107750</v>
      </c>
      <c r="Y25" s="61">
        <v>108130</v>
      </c>
      <c r="Z25" s="63">
        <v>17.001385041551245</v>
      </c>
    </row>
    <row r="26" spans="1:26" s="49" customFormat="1" ht="12" customHeight="1" x14ac:dyDescent="0.15">
      <c r="A26" s="60" t="s">
        <v>185</v>
      </c>
      <c r="B26" s="64">
        <v>11472</v>
      </c>
      <c r="C26" s="62">
        <v>10325</v>
      </c>
      <c r="D26" s="64"/>
      <c r="E26" s="64">
        <v>10437</v>
      </c>
      <c r="F26" s="62">
        <v>10998</v>
      </c>
      <c r="G26" s="62">
        <v>10716</v>
      </c>
      <c r="H26" s="62">
        <v>11360</v>
      </c>
      <c r="I26" s="61">
        <v>10790</v>
      </c>
      <c r="J26" s="62">
        <v>11050</v>
      </c>
      <c r="K26" s="62">
        <v>10760</v>
      </c>
      <c r="L26" s="61">
        <v>10860</v>
      </c>
      <c r="M26" s="61">
        <v>10690</v>
      </c>
      <c r="N26" s="62">
        <v>11130</v>
      </c>
      <c r="O26" s="62">
        <v>10540</v>
      </c>
      <c r="P26" s="62">
        <v>10820</v>
      </c>
      <c r="Q26" s="62">
        <v>10830</v>
      </c>
      <c r="R26" s="62">
        <v>11010</v>
      </c>
      <c r="S26" s="62">
        <v>11210</v>
      </c>
      <c r="T26" s="62">
        <v>11290</v>
      </c>
      <c r="U26" s="62">
        <v>11510</v>
      </c>
      <c r="V26" s="62">
        <v>11580</v>
      </c>
      <c r="W26" s="62">
        <v>8780</v>
      </c>
      <c r="X26" s="61">
        <v>10890</v>
      </c>
      <c r="Y26" s="61">
        <v>10670</v>
      </c>
      <c r="Z26" s="63">
        <v>-1.1492122335495829</v>
      </c>
    </row>
    <row r="27" spans="1:26" s="49" customFormat="1" ht="12" customHeight="1" x14ac:dyDescent="0.15">
      <c r="A27" s="60" t="s">
        <v>186</v>
      </c>
      <c r="B27" s="64">
        <v>12679</v>
      </c>
      <c r="C27" s="62">
        <v>11971</v>
      </c>
      <c r="D27" s="64"/>
      <c r="E27" s="64">
        <v>16170</v>
      </c>
      <c r="F27" s="62">
        <v>17793</v>
      </c>
      <c r="G27" s="62">
        <v>17525</v>
      </c>
      <c r="H27" s="62">
        <v>17568</v>
      </c>
      <c r="I27" s="61">
        <v>17198</v>
      </c>
      <c r="J27" s="62">
        <v>19120</v>
      </c>
      <c r="K27" s="62">
        <v>18050</v>
      </c>
      <c r="L27" s="61">
        <v>18230</v>
      </c>
      <c r="M27" s="61">
        <v>19130</v>
      </c>
      <c r="N27" s="62">
        <v>19280</v>
      </c>
      <c r="O27" s="62">
        <v>19720</v>
      </c>
      <c r="P27" s="62">
        <v>19440</v>
      </c>
      <c r="Q27" s="62">
        <v>19830</v>
      </c>
      <c r="R27" s="62">
        <v>20340</v>
      </c>
      <c r="S27" s="62">
        <v>21040</v>
      </c>
      <c r="T27" s="62">
        <v>21090</v>
      </c>
      <c r="U27" s="62">
        <v>21850</v>
      </c>
      <c r="V27" s="62">
        <v>21960</v>
      </c>
      <c r="W27" s="62">
        <v>21400</v>
      </c>
      <c r="X27" s="61">
        <v>21010</v>
      </c>
      <c r="Y27" s="61">
        <v>21320</v>
      </c>
      <c r="Z27" s="63">
        <v>23.93883009652285</v>
      </c>
    </row>
    <row r="28" spans="1:26" s="49" customFormat="1" ht="12" customHeight="1" x14ac:dyDescent="0.15">
      <c r="A28" s="60" t="s">
        <v>187</v>
      </c>
      <c r="B28" s="64">
        <v>136795</v>
      </c>
      <c r="C28" s="62">
        <v>108119</v>
      </c>
      <c r="D28" s="64"/>
      <c r="E28" s="64">
        <v>111835</v>
      </c>
      <c r="F28" s="62">
        <v>139035</v>
      </c>
      <c r="G28" s="62">
        <v>134956</v>
      </c>
      <c r="H28" s="62">
        <v>139575</v>
      </c>
      <c r="I28" s="61">
        <v>139228</v>
      </c>
      <c r="J28" s="62">
        <v>137640</v>
      </c>
      <c r="K28" s="62">
        <v>140520</v>
      </c>
      <c r="L28" s="61">
        <v>140850</v>
      </c>
      <c r="M28" s="61">
        <v>141250</v>
      </c>
      <c r="N28" s="62">
        <v>143510</v>
      </c>
      <c r="O28" s="62">
        <v>142800</v>
      </c>
      <c r="P28" s="62">
        <v>139490</v>
      </c>
      <c r="Q28" s="62">
        <v>144730</v>
      </c>
      <c r="R28" s="62">
        <v>146850</v>
      </c>
      <c r="S28" s="62">
        <v>144610</v>
      </c>
      <c r="T28" s="62">
        <v>147870</v>
      </c>
      <c r="U28" s="62">
        <v>152340</v>
      </c>
      <c r="V28" s="62">
        <v>149530</v>
      </c>
      <c r="W28" s="62">
        <v>146040</v>
      </c>
      <c r="X28" s="61">
        <v>138960</v>
      </c>
      <c r="Y28" s="61">
        <v>138790</v>
      </c>
      <c r="Z28" s="63">
        <v>-0.31243715344614592</v>
      </c>
    </row>
    <row r="29" spans="1:26" s="49" customFormat="1" ht="12" customHeight="1" x14ac:dyDescent="0.15">
      <c r="A29" s="60" t="s">
        <v>188</v>
      </c>
      <c r="B29" s="64">
        <v>73381</v>
      </c>
      <c r="C29" s="62">
        <v>60012</v>
      </c>
      <c r="D29" s="64"/>
      <c r="E29" s="64">
        <v>57012</v>
      </c>
      <c r="F29" s="62">
        <v>64551</v>
      </c>
      <c r="G29" s="62">
        <v>66133</v>
      </c>
      <c r="H29" s="62">
        <v>65667</v>
      </c>
      <c r="I29" s="61">
        <v>66595</v>
      </c>
      <c r="J29" s="62">
        <v>67560</v>
      </c>
      <c r="K29" s="62">
        <v>66750</v>
      </c>
      <c r="L29" s="61">
        <v>66720</v>
      </c>
      <c r="M29" s="61">
        <v>68970</v>
      </c>
      <c r="N29" s="62">
        <v>69640</v>
      </c>
      <c r="O29" s="62">
        <v>71980</v>
      </c>
      <c r="P29" s="62">
        <v>69520</v>
      </c>
      <c r="Q29" s="62">
        <v>68320</v>
      </c>
      <c r="R29" s="62">
        <v>69820</v>
      </c>
      <c r="S29" s="62">
        <v>68920</v>
      </c>
      <c r="T29" s="62">
        <v>70120</v>
      </c>
      <c r="U29" s="62">
        <v>70340</v>
      </c>
      <c r="V29" s="62">
        <v>71660</v>
      </c>
      <c r="W29" s="62">
        <v>69740</v>
      </c>
      <c r="X29" s="61">
        <v>68530</v>
      </c>
      <c r="Y29" s="61">
        <v>68580</v>
      </c>
      <c r="Z29" s="63">
        <v>2.9761994143704484</v>
      </c>
    </row>
    <row r="30" spans="1:26" s="49" customFormat="1" ht="12" customHeight="1" x14ac:dyDescent="0.15">
      <c r="A30" s="65"/>
      <c r="B30" s="64"/>
      <c r="C30" s="66" t="s">
        <v>178</v>
      </c>
      <c r="D30" s="67"/>
      <c r="E30" s="67" t="s">
        <v>178</v>
      </c>
      <c r="F30" s="66" t="s">
        <v>178</v>
      </c>
      <c r="G30" s="66" t="s">
        <v>178</v>
      </c>
      <c r="H30" s="66" t="s">
        <v>178</v>
      </c>
      <c r="I30" s="68" t="s">
        <v>178</v>
      </c>
      <c r="J30" s="62"/>
      <c r="K30" s="62"/>
      <c r="L30" s="61"/>
      <c r="M30" s="61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1"/>
      <c r="Y30" s="61"/>
      <c r="Z30" s="63"/>
    </row>
    <row r="31" spans="1:26" s="49" customFormat="1" ht="12" customHeight="1" x14ac:dyDescent="0.15">
      <c r="A31" s="60" t="s">
        <v>189</v>
      </c>
      <c r="B31" s="64">
        <v>42635</v>
      </c>
      <c r="C31" s="62">
        <v>31796</v>
      </c>
      <c r="D31" s="64"/>
      <c r="E31" s="64">
        <v>33926</v>
      </c>
      <c r="F31" s="62">
        <v>34462</v>
      </c>
      <c r="G31" s="62">
        <v>33853</v>
      </c>
      <c r="H31" s="62">
        <v>33230</v>
      </c>
      <c r="I31" s="61">
        <v>32548</v>
      </c>
      <c r="J31" s="62">
        <v>32590</v>
      </c>
      <c r="K31" s="62">
        <v>32450</v>
      </c>
      <c r="L31" s="61">
        <v>32700</v>
      </c>
      <c r="M31" s="61">
        <v>32850</v>
      </c>
      <c r="N31" s="62">
        <v>33390</v>
      </c>
      <c r="O31" s="62">
        <v>33310</v>
      </c>
      <c r="P31" s="62">
        <v>33390</v>
      </c>
      <c r="Q31" s="62">
        <v>33890</v>
      </c>
      <c r="R31" s="62">
        <v>33930</v>
      </c>
      <c r="S31" s="62">
        <v>34700</v>
      </c>
      <c r="T31" s="62">
        <v>35460</v>
      </c>
      <c r="U31" s="62">
        <v>36120</v>
      </c>
      <c r="V31" s="62">
        <v>36390</v>
      </c>
      <c r="W31" s="62">
        <v>35350</v>
      </c>
      <c r="X31" s="61">
        <v>35090</v>
      </c>
      <c r="Y31" s="61">
        <v>35110</v>
      </c>
      <c r="Z31" s="63">
        <v>7.8622342386628974</v>
      </c>
    </row>
    <row r="32" spans="1:26" s="49" customFormat="1" ht="12" customHeight="1" x14ac:dyDescent="0.15">
      <c r="A32" s="60" t="s">
        <v>190</v>
      </c>
      <c r="B32" s="64">
        <v>29397</v>
      </c>
      <c r="C32" s="62">
        <v>25367</v>
      </c>
      <c r="D32" s="64"/>
      <c r="E32" s="64">
        <v>29102</v>
      </c>
      <c r="F32" s="62">
        <v>31642</v>
      </c>
      <c r="G32" s="62">
        <v>31370</v>
      </c>
      <c r="H32" s="62">
        <v>31898</v>
      </c>
      <c r="I32" s="61">
        <v>31922</v>
      </c>
      <c r="J32" s="62">
        <v>32150</v>
      </c>
      <c r="K32" s="62">
        <v>31900</v>
      </c>
      <c r="L32" s="61">
        <v>32790</v>
      </c>
      <c r="M32" s="61">
        <v>32900</v>
      </c>
      <c r="N32" s="62">
        <v>33470</v>
      </c>
      <c r="O32" s="62">
        <v>33410</v>
      </c>
      <c r="P32" s="62">
        <v>33330</v>
      </c>
      <c r="Q32" s="62">
        <v>33490</v>
      </c>
      <c r="R32" s="62">
        <v>33680</v>
      </c>
      <c r="S32" s="62">
        <v>33660</v>
      </c>
      <c r="T32" s="62">
        <v>34200</v>
      </c>
      <c r="U32" s="62">
        <v>34870</v>
      </c>
      <c r="V32" s="62">
        <v>34670</v>
      </c>
      <c r="W32" s="62">
        <v>33910</v>
      </c>
      <c r="X32" s="61">
        <v>33560</v>
      </c>
      <c r="Y32" s="61">
        <v>33500</v>
      </c>
      <c r="Z32" s="63">
        <v>4.9526971994235955</v>
      </c>
    </row>
    <row r="33" spans="1:26" s="49" customFormat="1" ht="12" customHeight="1" x14ac:dyDescent="0.15">
      <c r="A33" s="60" t="s">
        <v>191</v>
      </c>
      <c r="B33" s="64">
        <v>41714</v>
      </c>
      <c r="C33" s="62">
        <v>38005</v>
      </c>
      <c r="D33" s="64"/>
      <c r="E33" s="64">
        <v>36830</v>
      </c>
      <c r="F33" s="62">
        <v>42664</v>
      </c>
      <c r="G33" s="62">
        <v>43031</v>
      </c>
      <c r="H33" s="62">
        <v>42642</v>
      </c>
      <c r="I33" s="61">
        <v>42888</v>
      </c>
      <c r="J33" s="62">
        <v>42400</v>
      </c>
      <c r="K33" s="62">
        <v>42530</v>
      </c>
      <c r="L33" s="61">
        <v>43280</v>
      </c>
      <c r="M33" s="61">
        <v>43280</v>
      </c>
      <c r="N33" s="62">
        <v>44330</v>
      </c>
      <c r="O33" s="62">
        <v>44420</v>
      </c>
      <c r="P33" s="62">
        <v>43760</v>
      </c>
      <c r="Q33" s="62">
        <v>43830</v>
      </c>
      <c r="R33" s="62">
        <v>43840</v>
      </c>
      <c r="S33" s="62">
        <v>43930</v>
      </c>
      <c r="T33" s="62">
        <v>44930</v>
      </c>
      <c r="U33" s="62">
        <v>45890</v>
      </c>
      <c r="V33" s="62">
        <v>45440</v>
      </c>
      <c r="W33" s="62">
        <v>44540</v>
      </c>
      <c r="X33" s="61">
        <v>42610</v>
      </c>
      <c r="Y33" s="61">
        <v>42660</v>
      </c>
      <c r="Z33" s="63">
        <v>-0.52229061742212268</v>
      </c>
    </row>
    <row r="34" spans="1:26" s="49" customFormat="1" ht="12" customHeight="1" x14ac:dyDescent="0.15">
      <c r="A34" s="60" t="s">
        <v>192</v>
      </c>
      <c r="B34" s="64">
        <v>46199</v>
      </c>
      <c r="C34" s="62">
        <v>36053</v>
      </c>
      <c r="D34" s="64"/>
      <c r="E34" s="64">
        <v>38430</v>
      </c>
      <c r="F34" s="62">
        <v>36573</v>
      </c>
      <c r="G34" s="62">
        <v>35844</v>
      </c>
      <c r="H34" s="62">
        <v>36675</v>
      </c>
      <c r="I34" s="61">
        <v>37508</v>
      </c>
      <c r="J34" s="62">
        <v>38180</v>
      </c>
      <c r="K34" s="62">
        <v>37720</v>
      </c>
      <c r="L34" s="61">
        <v>38790</v>
      </c>
      <c r="M34" s="61">
        <v>39380</v>
      </c>
      <c r="N34" s="62">
        <v>41970</v>
      </c>
      <c r="O34" s="62">
        <v>41720</v>
      </c>
      <c r="P34" s="62">
        <v>40430</v>
      </c>
      <c r="Q34" s="62">
        <v>39810</v>
      </c>
      <c r="R34" s="62">
        <v>40380</v>
      </c>
      <c r="S34" s="62">
        <v>40360</v>
      </c>
      <c r="T34" s="62">
        <v>41590</v>
      </c>
      <c r="U34" s="62">
        <v>42410</v>
      </c>
      <c r="V34" s="62">
        <v>42570</v>
      </c>
      <c r="W34" s="62">
        <v>41560</v>
      </c>
      <c r="X34" s="61">
        <v>39600</v>
      </c>
      <c r="Y34" s="61">
        <v>40130</v>
      </c>
      <c r="Z34" s="63">
        <v>6.9958408872773807</v>
      </c>
    </row>
    <row r="35" spans="1:26" s="49" customFormat="1" ht="12" customHeight="1" x14ac:dyDescent="0.15">
      <c r="A35" s="60" t="s">
        <v>193</v>
      </c>
      <c r="B35" s="64">
        <v>15554</v>
      </c>
      <c r="C35" s="62">
        <v>13839</v>
      </c>
      <c r="D35" s="64"/>
      <c r="E35" s="64">
        <v>12211</v>
      </c>
      <c r="F35" s="62">
        <v>14069</v>
      </c>
      <c r="G35" s="62">
        <v>13653</v>
      </c>
      <c r="H35" s="62">
        <v>13473</v>
      </c>
      <c r="I35" s="61">
        <v>13170</v>
      </c>
      <c r="J35" s="62">
        <v>12730</v>
      </c>
      <c r="K35" s="62">
        <v>12560</v>
      </c>
      <c r="L35" s="61">
        <v>12790</v>
      </c>
      <c r="M35" s="61">
        <v>12640</v>
      </c>
      <c r="N35" s="62">
        <v>12470</v>
      </c>
      <c r="O35" s="62">
        <v>12430</v>
      </c>
      <c r="P35" s="62">
        <v>12100</v>
      </c>
      <c r="Q35" s="62">
        <v>12050</v>
      </c>
      <c r="R35" s="62">
        <v>12250</v>
      </c>
      <c r="S35" s="62">
        <v>12300</v>
      </c>
      <c r="T35" s="62">
        <v>12160</v>
      </c>
      <c r="U35" s="62">
        <v>12340</v>
      </c>
      <c r="V35" s="62">
        <v>12080</v>
      </c>
      <c r="W35" s="62">
        <v>11960</v>
      </c>
      <c r="X35" s="61">
        <v>11600</v>
      </c>
      <c r="Y35" s="61">
        <v>11580</v>
      </c>
      <c r="Z35" s="63">
        <v>-12.0501138952164</v>
      </c>
    </row>
    <row r="36" spans="1:26" s="49" customFormat="1" ht="12" customHeight="1" x14ac:dyDescent="0.15">
      <c r="A36" s="65"/>
      <c r="B36" s="64"/>
      <c r="C36" s="66" t="s">
        <v>178</v>
      </c>
      <c r="D36" s="67"/>
      <c r="E36" s="67" t="s">
        <v>178</v>
      </c>
      <c r="F36" s="66" t="s">
        <v>178</v>
      </c>
      <c r="G36" s="66" t="s">
        <v>178</v>
      </c>
      <c r="H36" s="66" t="s">
        <v>178</v>
      </c>
      <c r="I36" s="68" t="s">
        <v>178</v>
      </c>
      <c r="J36" s="62"/>
      <c r="K36" s="62"/>
      <c r="L36" s="61"/>
      <c r="M36" s="61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1"/>
      <c r="Y36" s="61"/>
      <c r="Z36" s="63"/>
    </row>
    <row r="37" spans="1:26" s="49" customFormat="1" ht="12" customHeight="1" x14ac:dyDescent="0.15">
      <c r="A37" s="60" t="s">
        <v>194</v>
      </c>
      <c r="B37" s="64">
        <v>54050</v>
      </c>
      <c r="C37" s="62">
        <v>41566</v>
      </c>
      <c r="D37" s="64"/>
      <c r="E37" s="64">
        <v>47849</v>
      </c>
      <c r="F37" s="62">
        <v>59078</v>
      </c>
      <c r="G37" s="62">
        <v>58745</v>
      </c>
      <c r="H37" s="62">
        <v>58811</v>
      </c>
      <c r="I37" s="61">
        <v>58896</v>
      </c>
      <c r="J37" s="62">
        <v>58120</v>
      </c>
      <c r="K37" s="62">
        <v>57650</v>
      </c>
      <c r="L37" s="61">
        <v>57490</v>
      </c>
      <c r="M37" s="61">
        <v>57290</v>
      </c>
      <c r="N37" s="62">
        <v>59040</v>
      </c>
      <c r="O37" s="62">
        <v>58560</v>
      </c>
      <c r="P37" s="62">
        <v>60180</v>
      </c>
      <c r="Q37" s="62">
        <v>60920</v>
      </c>
      <c r="R37" s="62">
        <v>61640</v>
      </c>
      <c r="S37" s="62">
        <v>61990</v>
      </c>
      <c r="T37" s="62">
        <v>63770</v>
      </c>
      <c r="U37" s="62">
        <v>65820</v>
      </c>
      <c r="V37" s="62">
        <v>66930</v>
      </c>
      <c r="W37" s="62">
        <v>65550</v>
      </c>
      <c r="X37" s="61">
        <v>64340</v>
      </c>
      <c r="Y37" s="61">
        <v>64550</v>
      </c>
      <c r="Z37" s="63">
        <v>9.5931812007606627</v>
      </c>
    </row>
    <row r="38" spans="1:26" s="49" customFormat="1" ht="12" customHeight="1" x14ac:dyDescent="0.15">
      <c r="A38" s="60" t="s">
        <v>195</v>
      </c>
      <c r="B38" s="64">
        <v>74831</v>
      </c>
      <c r="C38" s="62">
        <v>55941</v>
      </c>
      <c r="D38" s="64" t="s">
        <v>196</v>
      </c>
      <c r="E38" s="64">
        <v>52950</v>
      </c>
      <c r="F38" s="62">
        <v>64462</v>
      </c>
      <c r="G38" s="62">
        <v>64724</v>
      </c>
      <c r="H38" s="62">
        <v>65157</v>
      </c>
      <c r="I38" s="61">
        <v>66360</v>
      </c>
      <c r="J38" s="62">
        <v>65200</v>
      </c>
      <c r="K38" s="62">
        <v>65790</v>
      </c>
      <c r="L38" s="61">
        <v>68630</v>
      </c>
      <c r="M38" s="61">
        <v>68610</v>
      </c>
      <c r="N38" s="62">
        <v>69320</v>
      </c>
      <c r="O38" s="62">
        <v>69810</v>
      </c>
      <c r="P38" s="62">
        <v>69790</v>
      </c>
      <c r="Q38" s="62">
        <v>70020</v>
      </c>
      <c r="R38" s="62">
        <v>70360</v>
      </c>
      <c r="S38" s="62">
        <v>69700</v>
      </c>
      <c r="T38" s="62">
        <v>70020</v>
      </c>
      <c r="U38" s="62">
        <v>71160</v>
      </c>
      <c r="V38" s="62">
        <v>71310</v>
      </c>
      <c r="W38" s="62">
        <v>69390</v>
      </c>
      <c r="X38" s="61">
        <v>67880</v>
      </c>
      <c r="Y38" s="61">
        <v>68390</v>
      </c>
      <c r="Z38" s="63">
        <v>3.0575647980711276</v>
      </c>
    </row>
    <row r="39" spans="1:26" s="49" customFormat="1" ht="12" customHeight="1" x14ac:dyDescent="0.15">
      <c r="A39" s="60" t="s">
        <v>197</v>
      </c>
      <c r="B39" s="64">
        <v>124372</v>
      </c>
      <c r="C39" s="62">
        <v>93807</v>
      </c>
      <c r="D39" s="64"/>
      <c r="E39" s="64">
        <v>97679</v>
      </c>
      <c r="F39" s="62">
        <v>110682</v>
      </c>
      <c r="G39" s="62">
        <v>106017</v>
      </c>
      <c r="H39" s="62">
        <v>105446</v>
      </c>
      <c r="I39" s="61">
        <v>104210</v>
      </c>
      <c r="J39" s="62">
        <v>102520</v>
      </c>
      <c r="K39" s="62">
        <v>102020</v>
      </c>
      <c r="L39" s="61">
        <v>100800</v>
      </c>
      <c r="M39" s="61">
        <v>101570</v>
      </c>
      <c r="N39" s="62">
        <v>102440</v>
      </c>
      <c r="O39" s="62">
        <v>99910</v>
      </c>
      <c r="P39" s="62">
        <v>98170</v>
      </c>
      <c r="Q39" s="62">
        <v>97790</v>
      </c>
      <c r="R39" s="62">
        <v>97500</v>
      </c>
      <c r="S39" s="62">
        <v>94870</v>
      </c>
      <c r="T39" s="62">
        <v>96260</v>
      </c>
      <c r="U39" s="62">
        <v>96030</v>
      </c>
      <c r="V39" s="62">
        <v>92560</v>
      </c>
      <c r="W39" s="62">
        <v>90060</v>
      </c>
      <c r="X39" s="61">
        <v>88840</v>
      </c>
      <c r="Y39" s="61">
        <v>88680</v>
      </c>
      <c r="Z39" s="63">
        <v>-14.907398522214759</v>
      </c>
    </row>
    <row r="40" spans="1:26" s="49" customFormat="1" ht="12" customHeight="1" x14ac:dyDescent="0.15">
      <c r="A40" s="60" t="s">
        <v>198</v>
      </c>
      <c r="B40" s="64">
        <v>64166</v>
      </c>
      <c r="C40" s="62">
        <v>49087</v>
      </c>
      <c r="D40" s="64"/>
      <c r="E40" s="64">
        <v>57372</v>
      </c>
      <c r="F40" s="62">
        <v>59667</v>
      </c>
      <c r="G40" s="62">
        <v>59357</v>
      </c>
      <c r="H40" s="62">
        <v>57501</v>
      </c>
      <c r="I40" s="61">
        <v>58255</v>
      </c>
      <c r="J40" s="62">
        <v>56370</v>
      </c>
      <c r="K40" s="62">
        <v>56800</v>
      </c>
      <c r="L40" s="61">
        <v>56640</v>
      </c>
      <c r="M40" s="61">
        <v>57250</v>
      </c>
      <c r="N40" s="62">
        <v>58370</v>
      </c>
      <c r="O40" s="62">
        <v>59350</v>
      </c>
      <c r="P40" s="62">
        <v>58510</v>
      </c>
      <c r="Q40" s="62">
        <v>60360</v>
      </c>
      <c r="R40" s="62">
        <v>61810</v>
      </c>
      <c r="S40" s="62">
        <v>61920</v>
      </c>
      <c r="T40" s="62">
        <v>63460</v>
      </c>
      <c r="U40" s="62">
        <v>65100</v>
      </c>
      <c r="V40" s="62">
        <v>65520</v>
      </c>
      <c r="W40" s="62">
        <v>64560</v>
      </c>
      <c r="X40" s="61">
        <v>63320</v>
      </c>
      <c r="Y40" s="61">
        <v>63910</v>
      </c>
      <c r="Z40" s="63">
        <v>9.7021714874259715</v>
      </c>
    </row>
    <row r="41" spans="1:26" s="49" customFormat="1" ht="12" customHeight="1" x14ac:dyDescent="0.15">
      <c r="A41" s="60" t="s">
        <v>199</v>
      </c>
      <c r="B41" s="64">
        <v>28083</v>
      </c>
      <c r="C41" s="62">
        <v>25182</v>
      </c>
      <c r="D41" s="64"/>
      <c r="E41" s="64">
        <v>24232</v>
      </c>
      <c r="F41" s="62">
        <v>25478</v>
      </c>
      <c r="G41" s="62">
        <v>27321</v>
      </c>
      <c r="H41" s="62">
        <v>26158</v>
      </c>
      <c r="I41" s="61">
        <v>26502</v>
      </c>
      <c r="J41" s="62">
        <v>26650</v>
      </c>
      <c r="K41" s="62">
        <v>26260</v>
      </c>
      <c r="L41" s="61">
        <v>26770</v>
      </c>
      <c r="M41" s="61">
        <v>26900</v>
      </c>
      <c r="N41" s="62">
        <v>28050</v>
      </c>
      <c r="O41" s="62">
        <v>27390</v>
      </c>
      <c r="P41" s="62">
        <v>26680</v>
      </c>
      <c r="Q41" s="62">
        <v>25990</v>
      </c>
      <c r="R41" s="62">
        <v>26300</v>
      </c>
      <c r="S41" s="62">
        <v>26180</v>
      </c>
      <c r="T41" s="62">
        <v>25950</v>
      </c>
      <c r="U41" s="62">
        <v>28040</v>
      </c>
      <c r="V41" s="62">
        <v>27280</v>
      </c>
      <c r="W41" s="62">
        <v>26330</v>
      </c>
      <c r="X41" s="61">
        <v>24560</v>
      </c>
      <c r="Y41" s="61">
        <v>24850</v>
      </c>
      <c r="Z41" s="63">
        <v>-6.2221719115538452</v>
      </c>
    </row>
    <row r="42" spans="1:26" s="49" customFormat="1" ht="12" customHeight="1" x14ac:dyDescent="0.15">
      <c r="A42" s="65"/>
      <c r="B42" s="64"/>
      <c r="C42" s="66" t="s">
        <v>178</v>
      </c>
      <c r="D42" s="67"/>
      <c r="E42" s="67" t="s">
        <v>178</v>
      </c>
      <c r="F42" s="66" t="s">
        <v>178</v>
      </c>
      <c r="G42" s="66" t="s">
        <v>178</v>
      </c>
      <c r="H42" s="66" t="s">
        <v>178</v>
      </c>
      <c r="I42" s="68" t="s">
        <v>178</v>
      </c>
      <c r="J42" s="62"/>
      <c r="K42" s="62"/>
      <c r="L42" s="61"/>
      <c r="M42" s="61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1"/>
      <c r="Y42" s="61"/>
      <c r="Z42" s="63"/>
    </row>
    <row r="43" spans="1:26" s="49" customFormat="1" ht="12" customHeight="1" x14ac:dyDescent="0.15">
      <c r="A43" s="60" t="s">
        <v>200</v>
      </c>
      <c r="B43" s="64">
        <v>60359</v>
      </c>
      <c r="C43" s="62">
        <v>48957</v>
      </c>
      <c r="D43" s="64"/>
      <c r="E43" s="64">
        <v>52848</v>
      </c>
      <c r="F43" s="62">
        <v>63994</v>
      </c>
      <c r="G43" s="62">
        <v>62994</v>
      </c>
      <c r="H43" s="62">
        <v>61313</v>
      </c>
      <c r="I43" s="61">
        <v>61407</v>
      </c>
      <c r="J43" s="62">
        <v>60900</v>
      </c>
      <c r="K43" s="62">
        <v>60590</v>
      </c>
      <c r="L43" s="61">
        <v>61600</v>
      </c>
      <c r="M43" s="61">
        <v>60890</v>
      </c>
      <c r="N43" s="62">
        <v>61700</v>
      </c>
      <c r="O43" s="62">
        <v>61770</v>
      </c>
      <c r="P43" s="62">
        <v>60750</v>
      </c>
      <c r="Q43" s="62">
        <v>60800</v>
      </c>
      <c r="R43" s="62">
        <v>61170</v>
      </c>
      <c r="S43" s="62">
        <v>61590</v>
      </c>
      <c r="T43" s="62">
        <v>62280</v>
      </c>
      <c r="U43" s="62">
        <v>63600</v>
      </c>
      <c r="V43" s="62">
        <v>63560</v>
      </c>
      <c r="W43" s="62">
        <v>61920</v>
      </c>
      <c r="X43" s="61">
        <v>60470</v>
      </c>
      <c r="Y43" s="61">
        <v>60440</v>
      </c>
      <c r="Z43" s="63">
        <v>-1.5763675151041414</v>
      </c>
    </row>
    <row r="44" spans="1:26" s="49" customFormat="1" ht="12" customHeight="1" x14ac:dyDescent="0.15">
      <c r="A44" s="60" t="s">
        <v>201</v>
      </c>
      <c r="B44" s="64">
        <v>11634</v>
      </c>
      <c r="C44" s="62">
        <v>9370</v>
      </c>
      <c r="D44" s="64"/>
      <c r="E44" s="64">
        <v>10903</v>
      </c>
      <c r="F44" s="62">
        <v>10075</v>
      </c>
      <c r="G44" s="62">
        <v>9732</v>
      </c>
      <c r="H44" s="62">
        <v>9750</v>
      </c>
      <c r="I44" s="61">
        <v>9369</v>
      </c>
      <c r="J44" s="62">
        <v>9470</v>
      </c>
      <c r="K44" s="62">
        <v>9390</v>
      </c>
      <c r="L44" s="61">
        <v>9320</v>
      </c>
      <c r="M44" s="61">
        <v>9380</v>
      </c>
      <c r="N44" s="62">
        <v>9210</v>
      </c>
      <c r="O44" s="62">
        <v>9430</v>
      </c>
      <c r="P44" s="62">
        <v>9610</v>
      </c>
      <c r="Q44" s="62">
        <v>9660</v>
      </c>
      <c r="R44" s="62">
        <v>9870</v>
      </c>
      <c r="S44" s="62">
        <v>9890</v>
      </c>
      <c r="T44" s="62">
        <v>10430</v>
      </c>
      <c r="U44" s="62">
        <v>10430</v>
      </c>
      <c r="V44" s="62">
        <v>10800</v>
      </c>
      <c r="W44" s="62">
        <v>10530</v>
      </c>
      <c r="X44" s="61">
        <v>10200</v>
      </c>
      <c r="Y44" s="61">
        <v>10380</v>
      </c>
      <c r="Z44" s="63">
        <v>10.833600170775963</v>
      </c>
    </row>
    <row r="45" spans="1:26" s="49" customFormat="1" ht="12" customHeight="1" x14ac:dyDescent="0.15">
      <c r="A45" s="60" t="s">
        <v>202</v>
      </c>
      <c r="B45" s="64">
        <v>21411</v>
      </c>
      <c r="C45" s="62">
        <v>17664</v>
      </c>
      <c r="D45" s="64"/>
      <c r="E45" s="64">
        <v>20149</v>
      </c>
      <c r="F45" s="62">
        <v>19370</v>
      </c>
      <c r="G45" s="62">
        <v>20331</v>
      </c>
      <c r="H45" s="62">
        <v>20464</v>
      </c>
      <c r="I45" s="61">
        <v>20442</v>
      </c>
      <c r="J45" s="62">
        <v>20580</v>
      </c>
      <c r="K45" s="62">
        <v>20650</v>
      </c>
      <c r="L45" s="61">
        <v>21090</v>
      </c>
      <c r="M45" s="61">
        <v>21130</v>
      </c>
      <c r="N45" s="62">
        <v>21960</v>
      </c>
      <c r="O45" s="62">
        <v>22270</v>
      </c>
      <c r="P45" s="62">
        <v>22750</v>
      </c>
      <c r="Q45" s="62">
        <v>23240</v>
      </c>
      <c r="R45" s="62">
        <v>23800</v>
      </c>
      <c r="S45" s="62">
        <v>23640</v>
      </c>
      <c r="T45" s="62">
        <v>24050</v>
      </c>
      <c r="U45" s="62">
        <v>22970</v>
      </c>
      <c r="V45" s="62">
        <v>24790</v>
      </c>
      <c r="W45" s="62">
        <v>24890</v>
      </c>
      <c r="X45" s="61">
        <v>24450</v>
      </c>
      <c r="Y45" s="61">
        <v>24420</v>
      </c>
      <c r="Z45" s="63">
        <v>19.459935427061932</v>
      </c>
    </row>
    <row r="46" spans="1:26" s="49" customFormat="1" ht="12" customHeight="1" x14ac:dyDescent="0.15">
      <c r="A46" s="60" t="s">
        <v>203</v>
      </c>
      <c r="B46" s="64">
        <v>9069</v>
      </c>
      <c r="C46" s="62">
        <v>9477</v>
      </c>
      <c r="D46" s="64"/>
      <c r="E46" s="64">
        <v>14551</v>
      </c>
      <c r="F46" s="62">
        <v>20956</v>
      </c>
      <c r="G46" s="62">
        <v>21182</v>
      </c>
      <c r="H46" s="62">
        <v>21891</v>
      </c>
      <c r="I46" s="61">
        <v>23038</v>
      </c>
      <c r="J46" s="62">
        <v>22720</v>
      </c>
      <c r="K46" s="62">
        <v>23040</v>
      </c>
      <c r="L46" s="61">
        <v>23190</v>
      </c>
      <c r="M46" s="61">
        <v>23780</v>
      </c>
      <c r="N46" s="62">
        <v>24170</v>
      </c>
      <c r="O46" s="62">
        <v>24880</v>
      </c>
      <c r="P46" s="62">
        <v>25150</v>
      </c>
      <c r="Q46" s="62">
        <v>25190</v>
      </c>
      <c r="R46" s="62">
        <v>25410</v>
      </c>
      <c r="S46" s="62">
        <v>26270</v>
      </c>
      <c r="T46" s="62">
        <v>27270</v>
      </c>
      <c r="U46" s="62">
        <v>28460</v>
      </c>
      <c r="V46" s="62">
        <v>28610</v>
      </c>
      <c r="W46" s="62">
        <v>27590</v>
      </c>
      <c r="X46" s="61">
        <v>27520</v>
      </c>
      <c r="Y46" s="61">
        <v>27770</v>
      </c>
      <c r="Z46" s="63">
        <v>20.522614810313396</v>
      </c>
    </row>
    <row r="47" spans="1:26" s="49" customFormat="1" ht="12" customHeight="1" x14ac:dyDescent="0.15">
      <c r="A47" s="60" t="s">
        <v>204</v>
      </c>
      <c r="B47" s="64">
        <v>11552</v>
      </c>
      <c r="C47" s="62">
        <v>10766</v>
      </c>
      <c r="D47" s="64"/>
      <c r="E47" s="64">
        <v>11829</v>
      </c>
      <c r="F47" s="62">
        <v>15034</v>
      </c>
      <c r="G47" s="62">
        <v>14495</v>
      </c>
      <c r="H47" s="62">
        <v>14426</v>
      </c>
      <c r="I47" s="61">
        <v>14262</v>
      </c>
      <c r="J47" s="62">
        <v>13790</v>
      </c>
      <c r="K47" s="62">
        <v>13520</v>
      </c>
      <c r="L47" s="61">
        <v>13600</v>
      </c>
      <c r="M47" s="61">
        <v>13160</v>
      </c>
      <c r="N47" s="62">
        <v>13160</v>
      </c>
      <c r="O47" s="62">
        <v>12950</v>
      </c>
      <c r="P47" s="62">
        <v>12960</v>
      </c>
      <c r="Q47" s="62">
        <v>12780</v>
      </c>
      <c r="R47" s="62">
        <v>12810</v>
      </c>
      <c r="S47" s="62">
        <v>12540</v>
      </c>
      <c r="T47" s="62">
        <v>12550</v>
      </c>
      <c r="U47" s="62">
        <v>12500</v>
      </c>
      <c r="V47" s="62">
        <v>12290</v>
      </c>
      <c r="W47" s="62">
        <v>11910</v>
      </c>
      <c r="X47" s="61">
        <v>11490</v>
      </c>
      <c r="Y47" s="61">
        <v>11380</v>
      </c>
      <c r="Z47" s="63">
        <v>-20.200532884588419</v>
      </c>
    </row>
    <row r="48" spans="1:26" s="49" customFormat="1" ht="12" customHeight="1" x14ac:dyDescent="0.15">
      <c r="A48" s="65"/>
      <c r="B48" s="64"/>
      <c r="C48" s="66" t="s">
        <v>178</v>
      </c>
      <c r="D48" s="67"/>
      <c r="E48" s="67" t="s">
        <v>178</v>
      </c>
      <c r="F48" s="66" t="s">
        <v>178</v>
      </c>
      <c r="G48" s="66" t="s">
        <v>178</v>
      </c>
      <c r="H48" s="66" t="s">
        <v>178</v>
      </c>
      <c r="I48" s="68" t="s">
        <v>178</v>
      </c>
      <c r="J48" s="62"/>
      <c r="K48" s="62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1"/>
      <c r="Y48" s="61"/>
      <c r="Z48" s="63"/>
    </row>
    <row r="49" spans="1:26" s="49" customFormat="1" ht="12" customHeight="1" x14ac:dyDescent="0.15">
      <c r="A49" s="60" t="s">
        <v>205</v>
      </c>
      <c r="B49" s="64">
        <v>93168</v>
      </c>
      <c r="C49" s="62">
        <v>69824</v>
      </c>
      <c r="D49" s="64"/>
      <c r="E49" s="64">
        <v>74420</v>
      </c>
      <c r="F49" s="62">
        <v>96225</v>
      </c>
      <c r="G49" s="62">
        <v>95186</v>
      </c>
      <c r="H49" s="62">
        <v>93819</v>
      </c>
      <c r="I49" s="61">
        <v>96490</v>
      </c>
      <c r="J49" s="62">
        <v>95220</v>
      </c>
      <c r="K49" s="62">
        <v>95250</v>
      </c>
      <c r="L49" s="61">
        <v>97130</v>
      </c>
      <c r="M49" s="61">
        <v>97990</v>
      </c>
      <c r="N49" s="62">
        <v>98330</v>
      </c>
      <c r="O49" s="62">
        <v>97120</v>
      </c>
      <c r="P49" s="62">
        <v>96210</v>
      </c>
      <c r="Q49" s="62">
        <v>97920</v>
      </c>
      <c r="R49" s="62">
        <v>98540</v>
      </c>
      <c r="S49" s="62">
        <v>97370</v>
      </c>
      <c r="T49" s="62">
        <v>98540</v>
      </c>
      <c r="U49" s="62">
        <v>100920</v>
      </c>
      <c r="V49" s="62">
        <v>99270</v>
      </c>
      <c r="W49" s="62">
        <v>97620</v>
      </c>
      <c r="X49" s="61">
        <v>96130</v>
      </c>
      <c r="Y49" s="61">
        <v>96020</v>
      </c>
      <c r="Z49" s="63">
        <v>-0.48398797802881127</v>
      </c>
    </row>
    <row r="50" spans="1:26" s="49" customFormat="1" ht="12" customHeight="1" x14ac:dyDescent="0.15">
      <c r="A50" s="60" t="s">
        <v>206</v>
      </c>
      <c r="B50" s="64">
        <v>17915</v>
      </c>
      <c r="C50" s="62">
        <v>14884</v>
      </c>
      <c r="D50" s="64"/>
      <c r="E50" s="64">
        <v>18031</v>
      </c>
      <c r="F50" s="62">
        <v>18595</v>
      </c>
      <c r="G50" s="62">
        <v>19352</v>
      </c>
      <c r="H50" s="62">
        <v>20315</v>
      </c>
      <c r="I50" s="61">
        <v>19232</v>
      </c>
      <c r="J50" s="62">
        <v>18590</v>
      </c>
      <c r="K50" s="62">
        <v>19530</v>
      </c>
      <c r="L50" s="61">
        <v>19480</v>
      </c>
      <c r="M50" s="61">
        <v>19770</v>
      </c>
      <c r="N50" s="62">
        <v>20190</v>
      </c>
      <c r="O50" s="62">
        <v>20300</v>
      </c>
      <c r="P50" s="62">
        <v>20780</v>
      </c>
      <c r="Q50" s="62">
        <v>20410</v>
      </c>
      <c r="R50" s="62">
        <v>20430</v>
      </c>
      <c r="S50" s="62">
        <v>20800</v>
      </c>
      <c r="T50" s="62">
        <v>20820</v>
      </c>
      <c r="U50" s="62">
        <v>21380</v>
      </c>
      <c r="V50" s="62">
        <v>21510</v>
      </c>
      <c r="W50" s="62">
        <v>20920</v>
      </c>
      <c r="X50" s="61">
        <v>19510</v>
      </c>
      <c r="Y50" s="61">
        <v>19290</v>
      </c>
      <c r="Z50" s="63">
        <v>0.31198003327787022</v>
      </c>
    </row>
    <row r="51" spans="1:26" s="49" customFormat="1" ht="12" customHeight="1" x14ac:dyDescent="0.15">
      <c r="A51" s="60" t="s">
        <v>207</v>
      </c>
      <c r="B51" s="64">
        <v>198465</v>
      </c>
      <c r="C51" s="62">
        <v>143318</v>
      </c>
      <c r="D51" s="64"/>
      <c r="E51" s="64">
        <v>141731</v>
      </c>
      <c r="F51" s="62">
        <v>183826</v>
      </c>
      <c r="G51" s="62">
        <v>182759</v>
      </c>
      <c r="H51" s="62">
        <v>180806</v>
      </c>
      <c r="I51" s="61">
        <v>180351</v>
      </c>
      <c r="J51" s="62">
        <v>178810</v>
      </c>
      <c r="K51" s="62">
        <v>179110</v>
      </c>
      <c r="L51" s="61">
        <v>178260</v>
      </c>
      <c r="M51" s="61">
        <v>181790</v>
      </c>
      <c r="N51" s="62">
        <v>185630</v>
      </c>
      <c r="O51" s="62">
        <v>182480</v>
      </c>
      <c r="P51" s="62">
        <v>179160</v>
      </c>
      <c r="Q51" s="62">
        <v>180970</v>
      </c>
      <c r="R51" s="62">
        <v>180070</v>
      </c>
      <c r="S51" s="62">
        <v>180320</v>
      </c>
      <c r="T51" s="62">
        <v>183830</v>
      </c>
      <c r="U51" s="62">
        <v>186510</v>
      </c>
      <c r="V51" s="62">
        <v>185690</v>
      </c>
      <c r="W51" s="62">
        <v>183510</v>
      </c>
      <c r="X51" s="61">
        <v>180560</v>
      </c>
      <c r="Y51" s="61">
        <v>181140</v>
      </c>
      <c r="Z51" s="63">
        <v>0.43581682386013937</v>
      </c>
    </row>
    <row r="52" spans="1:26" s="49" customFormat="1" ht="12" customHeight="1" x14ac:dyDescent="0.15">
      <c r="A52" s="60" t="s">
        <v>208</v>
      </c>
      <c r="B52" s="64">
        <v>69395</v>
      </c>
      <c r="C52" s="62">
        <v>64782</v>
      </c>
      <c r="D52" s="64"/>
      <c r="E52" s="64">
        <v>62140</v>
      </c>
      <c r="F52" s="62">
        <v>88704</v>
      </c>
      <c r="G52" s="62">
        <v>89892</v>
      </c>
      <c r="H52" s="62">
        <v>93977</v>
      </c>
      <c r="I52" s="61">
        <v>94339</v>
      </c>
      <c r="J52" s="62">
        <v>96210</v>
      </c>
      <c r="K52" s="62">
        <v>97020</v>
      </c>
      <c r="L52" s="61">
        <v>98970</v>
      </c>
      <c r="M52" s="61">
        <v>101710</v>
      </c>
      <c r="N52" s="62">
        <v>105280</v>
      </c>
      <c r="O52" s="62">
        <v>107590</v>
      </c>
      <c r="P52" s="62">
        <v>104770</v>
      </c>
      <c r="Q52" s="62">
        <v>104820</v>
      </c>
      <c r="R52" s="62">
        <v>97640</v>
      </c>
      <c r="S52" s="62">
        <v>104440</v>
      </c>
      <c r="T52" s="62">
        <v>107090</v>
      </c>
      <c r="U52" s="62">
        <v>110400</v>
      </c>
      <c r="V52" s="62">
        <v>110430</v>
      </c>
      <c r="W52" s="62">
        <v>108930</v>
      </c>
      <c r="X52" s="61">
        <v>105400</v>
      </c>
      <c r="Y52" s="61">
        <v>106280</v>
      </c>
      <c r="Z52" s="63">
        <v>12.655423525795269</v>
      </c>
    </row>
    <row r="53" spans="1:26" s="49" customFormat="1" ht="12" customHeight="1" x14ac:dyDescent="0.15">
      <c r="A53" s="60" t="s">
        <v>209</v>
      </c>
      <c r="B53" s="64">
        <v>9924</v>
      </c>
      <c r="C53" s="62">
        <v>7690</v>
      </c>
      <c r="D53" s="64"/>
      <c r="E53" s="64">
        <v>8606</v>
      </c>
      <c r="F53" s="62">
        <v>7155</v>
      </c>
      <c r="G53" s="62">
        <v>7156</v>
      </c>
      <c r="H53" s="62">
        <v>6942</v>
      </c>
      <c r="I53" s="61">
        <v>6900</v>
      </c>
      <c r="J53" s="62">
        <v>6960</v>
      </c>
      <c r="K53" s="62">
        <v>7040</v>
      </c>
      <c r="L53" s="61">
        <v>7020</v>
      </c>
      <c r="M53" s="61">
        <v>6940</v>
      </c>
      <c r="N53" s="62">
        <v>6570</v>
      </c>
      <c r="O53" s="62">
        <v>6800</v>
      </c>
      <c r="P53" s="62">
        <v>6850</v>
      </c>
      <c r="Q53" s="62">
        <v>7050</v>
      </c>
      <c r="R53" s="62">
        <v>7330</v>
      </c>
      <c r="S53" s="62">
        <v>7450</v>
      </c>
      <c r="T53" s="62">
        <v>7910</v>
      </c>
      <c r="U53" s="62">
        <v>8140</v>
      </c>
      <c r="V53" s="62">
        <v>8240</v>
      </c>
      <c r="W53" s="62">
        <v>8270</v>
      </c>
      <c r="X53" s="61">
        <v>8000</v>
      </c>
      <c r="Y53" s="61">
        <v>8190</v>
      </c>
      <c r="Z53" s="63">
        <v>18.695652173913043</v>
      </c>
    </row>
    <row r="54" spans="1:26" s="49" customFormat="1" ht="12" customHeight="1" x14ac:dyDescent="0.15">
      <c r="A54" s="65"/>
      <c r="B54" s="64"/>
      <c r="C54" s="66" t="s">
        <v>178</v>
      </c>
      <c r="D54" s="67"/>
      <c r="E54" s="67" t="s">
        <v>178</v>
      </c>
      <c r="F54" s="66" t="s">
        <v>178</v>
      </c>
      <c r="G54" s="66" t="s">
        <v>178</v>
      </c>
      <c r="H54" s="66" t="s">
        <v>178</v>
      </c>
      <c r="I54" s="68" t="s">
        <v>178</v>
      </c>
      <c r="J54" s="62"/>
      <c r="K54" s="62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1"/>
      <c r="Y54" s="61"/>
      <c r="Z54" s="63"/>
    </row>
    <row r="55" spans="1:26" s="49" customFormat="1" ht="12" customHeight="1" x14ac:dyDescent="0.15">
      <c r="A55" s="60" t="s">
        <v>210</v>
      </c>
      <c r="B55" s="64">
        <v>143503</v>
      </c>
      <c r="C55" s="62">
        <v>114513</v>
      </c>
      <c r="D55" s="64"/>
      <c r="E55" s="64">
        <v>111668</v>
      </c>
      <c r="F55" s="62">
        <v>123437</v>
      </c>
      <c r="G55" s="62">
        <v>124229</v>
      </c>
      <c r="H55" s="62">
        <v>123135</v>
      </c>
      <c r="I55" s="61">
        <v>122491</v>
      </c>
      <c r="J55" s="62">
        <v>119520</v>
      </c>
      <c r="K55" s="62">
        <v>120940</v>
      </c>
      <c r="L55" s="61">
        <v>125050</v>
      </c>
      <c r="M55" s="61">
        <v>126590</v>
      </c>
      <c r="N55" s="62">
        <v>122380</v>
      </c>
      <c r="O55" s="62">
        <v>123350</v>
      </c>
      <c r="P55" s="62">
        <v>121250</v>
      </c>
      <c r="Q55" s="62">
        <v>120550</v>
      </c>
      <c r="R55" s="62">
        <v>120190</v>
      </c>
      <c r="S55" s="62">
        <v>117580</v>
      </c>
      <c r="T55" s="62">
        <v>120240</v>
      </c>
      <c r="U55" s="62">
        <v>121250</v>
      </c>
      <c r="V55" s="62">
        <v>122090</v>
      </c>
      <c r="W55" s="62">
        <v>117540</v>
      </c>
      <c r="X55" s="61">
        <v>114030</v>
      </c>
      <c r="Y55" s="61">
        <v>114690</v>
      </c>
      <c r="Z55" s="63">
        <v>-6.3727130972887807</v>
      </c>
    </row>
    <row r="56" spans="1:26" s="49" customFormat="1" ht="12" customHeight="1" x14ac:dyDescent="0.15">
      <c r="A56" s="60" t="s">
        <v>211</v>
      </c>
      <c r="B56" s="64">
        <v>38875</v>
      </c>
      <c r="C56" s="62">
        <v>35606</v>
      </c>
      <c r="D56" s="64"/>
      <c r="E56" s="64">
        <v>37646</v>
      </c>
      <c r="F56" s="62">
        <v>38503</v>
      </c>
      <c r="G56" s="62">
        <v>37744</v>
      </c>
      <c r="H56" s="62">
        <v>37305</v>
      </c>
      <c r="I56" s="61">
        <v>37033</v>
      </c>
      <c r="J56" s="62">
        <v>37260</v>
      </c>
      <c r="K56" s="62">
        <v>38420</v>
      </c>
      <c r="L56" s="61">
        <v>39690</v>
      </c>
      <c r="M56" s="61">
        <v>40230</v>
      </c>
      <c r="N56" s="62">
        <v>41170</v>
      </c>
      <c r="O56" s="62">
        <v>41370</v>
      </c>
      <c r="P56" s="62">
        <v>41640</v>
      </c>
      <c r="Q56" s="62">
        <v>41920</v>
      </c>
      <c r="R56" s="62">
        <v>41960</v>
      </c>
      <c r="S56" s="62">
        <v>40480</v>
      </c>
      <c r="T56" s="62">
        <v>42640</v>
      </c>
      <c r="U56" s="62">
        <v>44270</v>
      </c>
      <c r="V56" s="62">
        <v>44080</v>
      </c>
      <c r="W56" s="62">
        <v>43800</v>
      </c>
      <c r="X56" s="61">
        <v>42440</v>
      </c>
      <c r="Y56" s="61">
        <v>42720</v>
      </c>
      <c r="Z56" s="63">
        <v>15.356573866551454</v>
      </c>
    </row>
    <row r="57" spans="1:26" s="49" customFormat="1" ht="12" customHeight="1" x14ac:dyDescent="0.15">
      <c r="A57" s="60" t="s">
        <v>212</v>
      </c>
      <c r="B57" s="64">
        <v>28729</v>
      </c>
      <c r="C57" s="62">
        <v>25473</v>
      </c>
      <c r="D57" s="64"/>
      <c r="E57" s="64">
        <v>30151</v>
      </c>
      <c r="F57" s="62">
        <v>34671</v>
      </c>
      <c r="G57" s="62">
        <v>34723</v>
      </c>
      <c r="H57" s="62">
        <v>34261</v>
      </c>
      <c r="I57" s="61">
        <v>33899</v>
      </c>
      <c r="J57" s="62">
        <v>34440</v>
      </c>
      <c r="K57" s="62">
        <v>34800</v>
      </c>
      <c r="L57" s="61">
        <v>35650</v>
      </c>
      <c r="M57" s="61">
        <v>34700</v>
      </c>
      <c r="N57" s="62">
        <v>35380</v>
      </c>
      <c r="O57" s="62">
        <v>35610</v>
      </c>
      <c r="P57" s="62">
        <v>35190</v>
      </c>
      <c r="Q57" s="62">
        <v>35790</v>
      </c>
      <c r="R57" s="62">
        <v>36200</v>
      </c>
      <c r="S57" s="62">
        <v>36320</v>
      </c>
      <c r="T57" s="62">
        <v>37570</v>
      </c>
      <c r="U57" s="62">
        <v>38690</v>
      </c>
      <c r="V57" s="62">
        <v>38920</v>
      </c>
      <c r="W57" s="62">
        <v>37850</v>
      </c>
      <c r="X57" s="61">
        <v>37360</v>
      </c>
      <c r="Y57" s="61">
        <v>37620</v>
      </c>
      <c r="Z57" s="63">
        <v>10.96492521903301</v>
      </c>
    </row>
    <row r="58" spans="1:26" s="49" customFormat="1" ht="12" customHeight="1" x14ac:dyDescent="0.15">
      <c r="A58" s="60" t="s">
        <v>213</v>
      </c>
      <c r="B58" s="64">
        <v>144645</v>
      </c>
      <c r="C58" s="62">
        <v>110527</v>
      </c>
      <c r="D58" s="64"/>
      <c r="E58" s="64">
        <v>113959</v>
      </c>
      <c r="F58" s="62">
        <v>131182</v>
      </c>
      <c r="G58" s="62">
        <v>130284</v>
      </c>
      <c r="H58" s="62">
        <v>131733</v>
      </c>
      <c r="I58" s="61">
        <v>129777</v>
      </c>
      <c r="J58" s="62">
        <v>127200</v>
      </c>
      <c r="K58" s="62">
        <v>123560</v>
      </c>
      <c r="L58" s="61">
        <v>121840</v>
      </c>
      <c r="M58" s="61">
        <v>123990</v>
      </c>
      <c r="N58" s="62">
        <v>123190</v>
      </c>
      <c r="O58" s="62">
        <v>120390</v>
      </c>
      <c r="P58" s="62">
        <v>118130</v>
      </c>
      <c r="Q58" s="62">
        <v>119550</v>
      </c>
      <c r="R58" s="62">
        <v>120570</v>
      </c>
      <c r="S58" s="62">
        <v>119610</v>
      </c>
      <c r="T58" s="62">
        <v>121370</v>
      </c>
      <c r="U58" s="62">
        <v>123220</v>
      </c>
      <c r="V58" s="62">
        <v>123420</v>
      </c>
      <c r="W58" s="62">
        <v>120520</v>
      </c>
      <c r="X58" s="61">
        <v>118990</v>
      </c>
      <c r="Y58" s="61">
        <v>119130</v>
      </c>
      <c r="Z58" s="63">
        <v>-8.2033025882860606</v>
      </c>
    </row>
    <row r="59" spans="1:26" s="49" customFormat="1" ht="12" customHeight="1" x14ac:dyDescent="0.15">
      <c r="A59" s="60" t="s">
        <v>214</v>
      </c>
      <c r="B59" s="64">
        <v>10719</v>
      </c>
      <c r="C59" s="62">
        <v>7825</v>
      </c>
      <c r="D59" s="64"/>
      <c r="E59" s="64">
        <v>8477</v>
      </c>
      <c r="F59" s="62">
        <v>9908</v>
      </c>
      <c r="G59" s="62">
        <v>9724</v>
      </c>
      <c r="H59" s="62">
        <v>9751</v>
      </c>
      <c r="I59" s="61">
        <v>9579</v>
      </c>
      <c r="J59" s="62">
        <v>9730</v>
      </c>
      <c r="K59" s="62">
        <v>9900</v>
      </c>
      <c r="L59" s="61">
        <v>10050</v>
      </c>
      <c r="M59" s="61">
        <v>9390</v>
      </c>
      <c r="N59" s="62">
        <v>9660</v>
      </c>
      <c r="O59" s="62">
        <v>10240</v>
      </c>
      <c r="P59" s="62">
        <v>10390</v>
      </c>
      <c r="Q59" s="62">
        <v>10250</v>
      </c>
      <c r="R59" s="62">
        <v>10510</v>
      </c>
      <c r="S59" s="62">
        <v>10300</v>
      </c>
      <c r="T59" s="62">
        <v>10420</v>
      </c>
      <c r="U59" s="62">
        <v>10540</v>
      </c>
      <c r="V59" s="62">
        <v>10390</v>
      </c>
      <c r="W59" s="62">
        <v>9990</v>
      </c>
      <c r="X59" s="61">
        <v>9780</v>
      </c>
      <c r="Y59" s="61">
        <v>9740</v>
      </c>
      <c r="Z59" s="63">
        <v>1.6807599958241988</v>
      </c>
    </row>
    <row r="60" spans="1:26" s="49" customFormat="1" ht="12" customHeight="1" x14ac:dyDescent="0.15">
      <c r="A60" s="65"/>
      <c r="B60" s="64"/>
      <c r="C60" s="66" t="s">
        <v>178</v>
      </c>
      <c r="D60" s="67"/>
      <c r="E60" s="67" t="s">
        <v>178</v>
      </c>
      <c r="F60" s="66" t="s">
        <v>178</v>
      </c>
      <c r="G60" s="66" t="s">
        <v>178</v>
      </c>
      <c r="H60" s="66" t="s">
        <v>178</v>
      </c>
      <c r="I60" s="68" t="s">
        <v>178</v>
      </c>
      <c r="J60" s="62"/>
      <c r="K60" s="62"/>
      <c r="L60" s="61"/>
      <c r="M60" s="61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1"/>
      <c r="Y60" s="61"/>
      <c r="Z60" s="63"/>
    </row>
    <row r="61" spans="1:26" s="49" customFormat="1" ht="12" customHeight="1" x14ac:dyDescent="0.15">
      <c r="A61" s="60" t="s">
        <v>215</v>
      </c>
      <c r="B61" s="64">
        <v>38347</v>
      </c>
      <c r="C61" s="62">
        <v>32483</v>
      </c>
      <c r="D61" s="64"/>
      <c r="E61" s="64">
        <v>31617</v>
      </c>
      <c r="F61" s="62">
        <v>40438</v>
      </c>
      <c r="G61" s="62">
        <v>40708</v>
      </c>
      <c r="H61" s="62">
        <v>41442</v>
      </c>
      <c r="I61" s="61">
        <v>42246</v>
      </c>
      <c r="J61" s="62">
        <v>41720</v>
      </c>
      <c r="K61" s="62">
        <v>42650</v>
      </c>
      <c r="L61" s="61">
        <v>43840</v>
      </c>
      <c r="M61" s="61">
        <v>45090</v>
      </c>
      <c r="N61" s="62">
        <v>46640</v>
      </c>
      <c r="O61" s="62">
        <v>46890</v>
      </c>
      <c r="P61" s="62">
        <v>46620</v>
      </c>
      <c r="Q61" s="62">
        <v>46480</v>
      </c>
      <c r="R61" s="62">
        <v>47070</v>
      </c>
      <c r="S61" s="62">
        <v>48120</v>
      </c>
      <c r="T61" s="62">
        <v>49580</v>
      </c>
      <c r="U61" s="62">
        <v>52080</v>
      </c>
      <c r="V61" s="62">
        <v>52000</v>
      </c>
      <c r="W61" s="62">
        <v>51900</v>
      </c>
      <c r="X61" s="61">
        <v>49310</v>
      </c>
      <c r="Y61" s="61">
        <v>50000</v>
      </c>
      <c r="Z61" s="63">
        <v>18.363868768640817</v>
      </c>
    </row>
    <row r="62" spans="1:26" s="49" customFormat="1" ht="12" customHeight="1" x14ac:dyDescent="0.15">
      <c r="A62" s="60" t="s">
        <v>216</v>
      </c>
      <c r="B62" s="64">
        <v>10385</v>
      </c>
      <c r="C62" s="62">
        <v>7650</v>
      </c>
      <c r="D62" s="64"/>
      <c r="E62" s="64">
        <v>9278</v>
      </c>
      <c r="F62" s="62">
        <v>8162</v>
      </c>
      <c r="G62" s="62">
        <v>8248</v>
      </c>
      <c r="H62" s="62">
        <v>8196</v>
      </c>
      <c r="I62" s="61">
        <v>8239</v>
      </c>
      <c r="J62" s="62">
        <v>7960</v>
      </c>
      <c r="K62" s="62">
        <v>8140</v>
      </c>
      <c r="L62" s="61">
        <v>8080</v>
      </c>
      <c r="M62" s="61">
        <v>8160</v>
      </c>
      <c r="N62" s="62">
        <v>8280</v>
      </c>
      <c r="O62" s="62">
        <v>8190</v>
      </c>
      <c r="P62" s="62">
        <v>8380</v>
      </c>
      <c r="Q62" s="62">
        <v>8500</v>
      </c>
      <c r="R62" s="62">
        <v>8820</v>
      </c>
      <c r="S62" s="62">
        <v>9200</v>
      </c>
      <c r="T62" s="62">
        <v>9350</v>
      </c>
      <c r="U62" s="62">
        <v>9610</v>
      </c>
      <c r="V62" s="62">
        <v>9660</v>
      </c>
      <c r="W62" s="62">
        <v>9470</v>
      </c>
      <c r="X62" s="61">
        <v>9380</v>
      </c>
      <c r="Y62" s="61">
        <v>9470</v>
      </c>
      <c r="Z62" s="63">
        <v>14.941133632722417</v>
      </c>
    </row>
    <row r="63" spans="1:26" s="49" customFormat="1" ht="12" customHeight="1" x14ac:dyDescent="0.15">
      <c r="A63" s="60" t="s">
        <v>217</v>
      </c>
      <c r="B63" s="64">
        <v>50648</v>
      </c>
      <c r="C63" s="62">
        <v>46094</v>
      </c>
      <c r="D63" s="64"/>
      <c r="E63" s="64">
        <v>41568</v>
      </c>
      <c r="F63" s="62">
        <v>62408</v>
      </c>
      <c r="G63" s="62">
        <v>61862</v>
      </c>
      <c r="H63" s="62">
        <v>62454</v>
      </c>
      <c r="I63" s="61">
        <v>61323</v>
      </c>
      <c r="J63" s="62">
        <v>60970</v>
      </c>
      <c r="K63" s="62">
        <v>62010</v>
      </c>
      <c r="L63" s="61">
        <v>63480</v>
      </c>
      <c r="M63" s="61">
        <v>63710</v>
      </c>
      <c r="N63" s="62">
        <v>66310</v>
      </c>
      <c r="O63" s="62">
        <v>65660</v>
      </c>
      <c r="P63" s="62">
        <v>64430</v>
      </c>
      <c r="Q63" s="62">
        <v>64190</v>
      </c>
      <c r="R63" s="62">
        <v>64540</v>
      </c>
      <c r="S63" s="62">
        <v>65250</v>
      </c>
      <c r="T63" s="62">
        <v>67010</v>
      </c>
      <c r="U63" s="62">
        <v>68260</v>
      </c>
      <c r="V63" s="62">
        <v>67850</v>
      </c>
      <c r="W63" s="62">
        <v>65050</v>
      </c>
      <c r="X63" s="61">
        <v>64230</v>
      </c>
      <c r="Y63" s="61">
        <v>64670</v>
      </c>
      <c r="Z63" s="63">
        <v>5.4579847691730672</v>
      </c>
    </row>
    <row r="64" spans="1:26" s="49" customFormat="1" ht="12" customHeight="1" x14ac:dyDescent="0.15">
      <c r="A64" s="60" t="s">
        <v>218</v>
      </c>
      <c r="B64" s="64">
        <v>171665</v>
      </c>
      <c r="C64" s="62">
        <v>172480</v>
      </c>
      <c r="D64" s="64"/>
      <c r="E64" s="64">
        <v>212925</v>
      </c>
      <c r="F64" s="62">
        <v>280894</v>
      </c>
      <c r="G64" s="62">
        <v>290470</v>
      </c>
      <c r="H64" s="62">
        <v>292531</v>
      </c>
      <c r="I64" s="61">
        <v>301390</v>
      </c>
      <c r="J64" s="62">
        <v>304360</v>
      </c>
      <c r="K64" s="62">
        <v>309280</v>
      </c>
      <c r="L64" s="61">
        <v>318660</v>
      </c>
      <c r="M64" s="61">
        <v>327690</v>
      </c>
      <c r="N64" s="62">
        <v>339950</v>
      </c>
      <c r="O64" s="62">
        <v>349360</v>
      </c>
      <c r="P64" s="62">
        <v>352500</v>
      </c>
      <c r="Q64" s="62">
        <v>357190</v>
      </c>
      <c r="R64" s="62">
        <v>363530</v>
      </c>
      <c r="S64" s="62">
        <v>370780</v>
      </c>
      <c r="T64" s="62">
        <v>374490</v>
      </c>
      <c r="U64" s="62">
        <v>387420</v>
      </c>
      <c r="V64" s="62">
        <v>390110</v>
      </c>
      <c r="W64" s="62">
        <v>387360</v>
      </c>
      <c r="X64" s="61">
        <v>374920</v>
      </c>
      <c r="Y64" s="61">
        <v>377680</v>
      </c>
      <c r="Z64" s="63">
        <v>25.312385945120941</v>
      </c>
    </row>
    <row r="65" spans="1:26" s="49" customFormat="1" ht="12" customHeight="1" x14ac:dyDescent="0.15">
      <c r="A65" s="60" t="s">
        <v>219</v>
      </c>
      <c r="B65" s="64">
        <v>19886</v>
      </c>
      <c r="C65" s="62">
        <v>21196</v>
      </c>
      <c r="D65" s="64"/>
      <c r="E65" s="64">
        <v>32501</v>
      </c>
      <c r="F65" s="62">
        <v>31481</v>
      </c>
      <c r="G65" s="62">
        <v>30888</v>
      </c>
      <c r="H65" s="62">
        <v>31157</v>
      </c>
      <c r="I65" s="61">
        <v>33186</v>
      </c>
      <c r="J65" s="62">
        <v>33400</v>
      </c>
      <c r="K65" s="62">
        <v>34070</v>
      </c>
      <c r="L65" s="61">
        <v>35400</v>
      </c>
      <c r="M65" s="61">
        <v>36560</v>
      </c>
      <c r="N65" s="62">
        <v>37690</v>
      </c>
      <c r="O65" s="62">
        <v>38350</v>
      </c>
      <c r="P65" s="62">
        <v>39140</v>
      </c>
      <c r="Q65" s="62">
        <v>40300</v>
      </c>
      <c r="R65" s="62">
        <v>41230</v>
      </c>
      <c r="S65" s="62">
        <v>41670</v>
      </c>
      <c r="T65" s="62">
        <v>42770</v>
      </c>
      <c r="U65" s="62">
        <v>44030</v>
      </c>
      <c r="V65" s="62">
        <v>44070</v>
      </c>
      <c r="W65" s="62">
        <v>43120</v>
      </c>
      <c r="X65" s="61">
        <v>42500</v>
      </c>
      <c r="Y65" s="61">
        <v>42650</v>
      </c>
      <c r="Z65" s="63">
        <v>28.509009823419511</v>
      </c>
    </row>
    <row r="66" spans="1:26" s="49" customFormat="1" ht="12" customHeight="1" x14ac:dyDescent="0.15">
      <c r="A66" s="65"/>
      <c r="B66" s="64"/>
      <c r="C66" s="66" t="s">
        <v>178</v>
      </c>
      <c r="D66" s="67"/>
      <c r="E66" s="67" t="s">
        <v>178</v>
      </c>
      <c r="F66" s="66" t="s">
        <v>178</v>
      </c>
      <c r="G66" s="66" t="s">
        <v>178</v>
      </c>
      <c r="H66" s="66" t="s">
        <v>178</v>
      </c>
      <c r="I66" s="68" t="s">
        <v>178</v>
      </c>
      <c r="J66" s="62"/>
      <c r="K66" s="62"/>
      <c r="L66" s="61"/>
      <c r="M66" s="61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1"/>
      <c r="Y66" s="61"/>
      <c r="Z66" s="63"/>
    </row>
    <row r="67" spans="1:26" s="49" customFormat="1" ht="12" customHeight="1" x14ac:dyDescent="0.15">
      <c r="A67" s="60" t="s">
        <v>220</v>
      </c>
      <c r="B67" s="64">
        <v>6424</v>
      </c>
      <c r="C67" s="62">
        <v>6127</v>
      </c>
      <c r="D67" s="64"/>
      <c r="E67" s="64">
        <v>6675</v>
      </c>
      <c r="F67" s="62">
        <v>7199</v>
      </c>
      <c r="G67" s="62">
        <v>6932</v>
      </c>
      <c r="H67" s="62">
        <v>6859</v>
      </c>
      <c r="I67" s="61">
        <v>6491</v>
      </c>
      <c r="J67" s="62">
        <v>6360</v>
      </c>
      <c r="K67" s="62">
        <v>6240</v>
      </c>
      <c r="L67" s="61">
        <v>6090</v>
      </c>
      <c r="M67" s="61">
        <v>6010</v>
      </c>
      <c r="N67" s="62">
        <v>5930</v>
      </c>
      <c r="O67" s="62">
        <v>5880</v>
      </c>
      <c r="P67" s="62">
        <v>5750</v>
      </c>
      <c r="Q67" s="62">
        <v>5680</v>
      </c>
      <c r="R67" s="62">
        <v>5730</v>
      </c>
      <c r="S67" s="62">
        <v>5800</v>
      </c>
      <c r="T67" s="62">
        <v>5660</v>
      </c>
      <c r="U67" s="62">
        <v>5810</v>
      </c>
      <c r="V67" s="62">
        <v>5860</v>
      </c>
      <c r="W67" s="62">
        <v>5420</v>
      </c>
      <c r="X67" s="61">
        <v>5490</v>
      </c>
      <c r="Y67" s="61">
        <v>5440</v>
      </c>
      <c r="Z67" s="63">
        <v>-16.176244030195654</v>
      </c>
    </row>
    <row r="68" spans="1:26" s="49" customFormat="1" ht="12" customHeight="1" x14ac:dyDescent="0.15">
      <c r="A68" s="60" t="s">
        <v>221</v>
      </c>
      <c r="B68" s="64">
        <v>67126</v>
      </c>
      <c r="C68" s="62">
        <v>60605</v>
      </c>
      <c r="D68" s="64"/>
      <c r="E68" s="64">
        <v>65596</v>
      </c>
      <c r="F68" s="62">
        <v>81511</v>
      </c>
      <c r="G68" s="62">
        <v>82895</v>
      </c>
      <c r="H68" s="62">
        <v>83336</v>
      </c>
      <c r="I68" s="61">
        <v>83279</v>
      </c>
      <c r="J68" s="62">
        <v>83100</v>
      </c>
      <c r="K68" s="62">
        <v>82680</v>
      </c>
      <c r="L68" s="61">
        <v>84640</v>
      </c>
      <c r="M68" s="61">
        <v>84720</v>
      </c>
      <c r="N68" s="62">
        <v>87490</v>
      </c>
      <c r="O68" s="62">
        <v>87860</v>
      </c>
      <c r="P68" s="62">
        <v>87800</v>
      </c>
      <c r="Q68" s="62">
        <v>87670</v>
      </c>
      <c r="R68" s="62">
        <v>89310</v>
      </c>
      <c r="S68" s="62">
        <v>89250</v>
      </c>
      <c r="T68" s="62">
        <v>90680</v>
      </c>
      <c r="U68" s="62">
        <v>92690</v>
      </c>
      <c r="V68" s="62">
        <v>92530</v>
      </c>
      <c r="W68" s="62">
        <v>90310</v>
      </c>
      <c r="X68" s="61">
        <v>88120</v>
      </c>
      <c r="Y68" s="61">
        <v>88820</v>
      </c>
      <c r="Z68" s="63">
        <v>6.6499357581142906</v>
      </c>
    </row>
    <row r="69" spans="1:26" s="49" customFormat="1" ht="12" customHeight="1" x14ac:dyDescent="0.15">
      <c r="A69" s="60" t="s">
        <v>222</v>
      </c>
      <c r="B69" s="64">
        <v>50046</v>
      </c>
      <c r="C69" s="62">
        <v>45941</v>
      </c>
      <c r="D69" s="64"/>
      <c r="E69" s="64">
        <v>57597</v>
      </c>
      <c r="F69" s="62">
        <v>66046</v>
      </c>
      <c r="G69" s="62">
        <v>66453</v>
      </c>
      <c r="H69" s="62">
        <v>65205</v>
      </c>
      <c r="I69" s="61">
        <v>66066</v>
      </c>
      <c r="J69" s="62">
        <v>66240</v>
      </c>
      <c r="K69" s="62">
        <v>68200</v>
      </c>
      <c r="L69" s="61">
        <v>69770</v>
      </c>
      <c r="M69" s="61">
        <v>70840</v>
      </c>
      <c r="N69" s="62">
        <v>72500</v>
      </c>
      <c r="O69" s="62">
        <v>73160</v>
      </c>
      <c r="P69" s="62">
        <v>72220</v>
      </c>
      <c r="Q69" s="62">
        <v>73530</v>
      </c>
      <c r="R69" s="62">
        <v>74900</v>
      </c>
      <c r="S69" s="62">
        <v>75990</v>
      </c>
      <c r="T69" s="62">
        <v>78500</v>
      </c>
      <c r="U69" s="62">
        <v>81790</v>
      </c>
      <c r="V69" s="62">
        <v>83300</v>
      </c>
      <c r="W69" s="62">
        <v>82670</v>
      </c>
      <c r="X69" s="61">
        <v>81360</v>
      </c>
      <c r="Y69" s="61">
        <v>82790</v>
      </c>
      <c r="Z69" s="63">
        <v>25.314079859534406</v>
      </c>
    </row>
    <row r="70" spans="1:26" s="49" customFormat="1" ht="12" customHeight="1" x14ac:dyDescent="0.15">
      <c r="A70" s="60" t="s">
        <v>223</v>
      </c>
      <c r="B70" s="64">
        <v>23580</v>
      </c>
      <c r="C70" s="62">
        <v>21854</v>
      </c>
      <c r="D70" s="64"/>
      <c r="E70" s="64">
        <v>19437</v>
      </c>
      <c r="F70" s="62">
        <v>17651</v>
      </c>
      <c r="G70" s="62">
        <v>17311</v>
      </c>
      <c r="H70" s="62">
        <v>17603</v>
      </c>
      <c r="I70" s="61">
        <v>17924</v>
      </c>
      <c r="J70" s="62">
        <v>17510</v>
      </c>
      <c r="K70" s="62">
        <v>17460</v>
      </c>
      <c r="L70" s="61">
        <v>17640</v>
      </c>
      <c r="M70" s="61">
        <v>17370</v>
      </c>
      <c r="N70" s="62">
        <v>17540</v>
      </c>
      <c r="O70" s="62">
        <v>17270</v>
      </c>
      <c r="P70" s="62">
        <v>17230</v>
      </c>
      <c r="Q70" s="62">
        <v>16790</v>
      </c>
      <c r="R70" s="62">
        <v>16920</v>
      </c>
      <c r="S70" s="62">
        <v>16600</v>
      </c>
      <c r="T70" s="62">
        <v>16220</v>
      </c>
      <c r="U70" s="62">
        <v>16600</v>
      </c>
      <c r="V70" s="62">
        <v>16370</v>
      </c>
      <c r="W70" s="62">
        <v>15850</v>
      </c>
      <c r="X70" s="61">
        <v>15230</v>
      </c>
      <c r="Y70" s="61">
        <v>15270</v>
      </c>
      <c r="Z70" s="63">
        <v>-14.784646284311536</v>
      </c>
    </row>
    <row r="71" spans="1:26" s="49" customFormat="1" ht="12" customHeight="1" x14ac:dyDescent="0.15">
      <c r="A71" s="60" t="s">
        <v>224</v>
      </c>
      <c r="B71" s="64">
        <v>67743</v>
      </c>
      <c r="C71" s="62">
        <v>52038</v>
      </c>
      <c r="D71" s="64"/>
      <c r="E71" s="64">
        <v>58545</v>
      </c>
      <c r="F71" s="62">
        <v>64687</v>
      </c>
      <c r="G71" s="62">
        <v>64135</v>
      </c>
      <c r="H71" s="62">
        <v>62705</v>
      </c>
      <c r="I71" s="61">
        <v>61425</v>
      </c>
      <c r="J71" s="62">
        <v>60810</v>
      </c>
      <c r="K71" s="62">
        <v>60460</v>
      </c>
      <c r="L71" s="61">
        <v>60710</v>
      </c>
      <c r="M71" s="61">
        <v>60740</v>
      </c>
      <c r="N71" s="62">
        <v>61560</v>
      </c>
      <c r="O71" s="62">
        <v>61130</v>
      </c>
      <c r="P71" s="62">
        <v>60040</v>
      </c>
      <c r="Q71" s="62">
        <v>60420</v>
      </c>
      <c r="R71" s="62">
        <v>61450</v>
      </c>
      <c r="S71" s="62">
        <v>60940</v>
      </c>
      <c r="T71" s="62">
        <v>61020</v>
      </c>
      <c r="U71" s="62">
        <v>62250</v>
      </c>
      <c r="V71" s="62">
        <v>61750</v>
      </c>
      <c r="W71" s="62">
        <v>60700</v>
      </c>
      <c r="X71" s="61">
        <v>58540</v>
      </c>
      <c r="Y71" s="61">
        <v>58330</v>
      </c>
      <c r="Z71" s="63">
        <v>-5.0468050468050469</v>
      </c>
    </row>
    <row r="72" spans="1:26" s="49" customFormat="1" ht="12" customHeight="1" thickBot="1" x14ac:dyDescent="0.2">
      <c r="A72" s="60" t="s">
        <v>225</v>
      </c>
      <c r="B72" s="71">
        <v>6161</v>
      </c>
      <c r="C72" s="72">
        <v>5823</v>
      </c>
      <c r="D72" s="71"/>
      <c r="E72" s="71">
        <v>6462</v>
      </c>
      <c r="F72" s="72">
        <v>5695</v>
      </c>
      <c r="G72" s="72">
        <v>5600</v>
      </c>
      <c r="H72" s="72">
        <v>5553</v>
      </c>
      <c r="I72" s="73">
        <v>5489</v>
      </c>
      <c r="J72" s="72">
        <v>5590</v>
      </c>
      <c r="K72" s="72">
        <v>5550</v>
      </c>
      <c r="L72" s="73">
        <v>5700</v>
      </c>
      <c r="M72" s="73">
        <v>5660</v>
      </c>
      <c r="N72" s="72">
        <v>5740</v>
      </c>
      <c r="O72" s="72">
        <v>5770</v>
      </c>
      <c r="P72" s="72">
        <v>5770</v>
      </c>
      <c r="Q72" s="72">
        <v>5950</v>
      </c>
      <c r="R72" s="72">
        <v>5880</v>
      </c>
      <c r="S72" s="72">
        <v>6130</v>
      </c>
      <c r="T72" s="72">
        <v>6200</v>
      </c>
      <c r="U72" s="72">
        <v>6290</v>
      </c>
      <c r="V72" s="72">
        <v>6170</v>
      </c>
      <c r="W72" s="72">
        <v>5960</v>
      </c>
      <c r="X72" s="73">
        <v>5720</v>
      </c>
      <c r="Y72" s="73">
        <v>5590</v>
      </c>
      <c r="Z72" s="74">
        <v>1.8218254691200582</v>
      </c>
    </row>
    <row r="73" spans="1:26" s="49" customFormat="1" ht="7.5" customHeight="1" thickTop="1" x14ac:dyDescent="0.15">
      <c r="A73" s="60"/>
      <c r="B73" s="64"/>
      <c r="C73" s="62"/>
      <c r="D73" s="64"/>
      <c r="E73" s="64"/>
      <c r="F73" s="62"/>
      <c r="G73" s="62"/>
      <c r="H73" s="62"/>
      <c r="I73" s="61"/>
      <c r="J73" s="62"/>
      <c r="K73" s="62"/>
      <c r="L73" s="61"/>
      <c r="M73" s="61"/>
      <c r="N73" s="62"/>
      <c r="O73" s="62"/>
      <c r="P73" s="62"/>
      <c r="Q73" s="62"/>
      <c r="R73" s="62"/>
      <c r="S73" s="62"/>
      <c r="T73" s="62"/>
      <c r="U73" s="61"/>
      <c r="V73" s="61"/>
      <c r="W73" s="61"/>
      <c r="X73" s="61"/>
      <c r="Y73" s="75"/>
      <c r="Z73" s="63"/>
    </row>
    <row r="74" spans="1:26" s="49" customFormat="1" ht="13.5" customHeight="1" x14ac:dyDescent="0.15">
      <c r="A74" s="50" t="s">
        <v>226</v>
      </c>
      <c r="B74" s="64"/>
      <c r="C74" s="62"/>
      <c r="D74" s="64"/>
      <c r="E74" s="64"/>
      <c r="F74" s="62"/>
      <c r="G74" s="62"/>
      <c r="H74" s="62"/>
      <c r="I74" s="61"/>
      <c r="J74" s="62"/>
      <c r="K74" s="62"/>
      <c r="L74" s="61"/>
      <c r="M74" s="61"/>
      <c r="N74" s="62"/>
      <c r="O74" s="62"/>
      <c r="P74" s="62"/>
      <c r="Q74" s="62"/>
      <c r="R74" s="62"/>
      <c r="S74" s="62"/>
      <c r="T74" s="62"/>
      <c r="U74" s="61"/>
      <c r="V74" s="61"/>
      <c r="W74" s="61"/>
      <c r="X74" s="61"/>
      <c r="Y74" s="75"/>
      <c r="Z74" s="63"/>
    </row>
    <row r="75" spans="1:26" s="49" customFormat="1" ht="26.1" customHeight="1" x14ac:dyDescent="0.25">
      <c r="A75" s="76" t="s">
        <v>227</v>
      </c>
      <c r="B75" s="77" t="s">
        <v>228</v>
      </c>
      <c r="C75" s="78" t="s">
        <v>228</v>
      </c>
      <c r="D75" s="77"/>
      <c r="E75" s="77" t="s">
        <v>228</v>
      </c>
      <c r="F75" s="78" t="s">
        <v>228</v>
      </c>
      <c r="G75" s="78" t="s">
        <v>228</v>
      </c>
      <c r="H75" s="78" t="s">
        <v>228</v>
      </c>
      <c r="I75" s="79" t="s">
        <v>228</v>
      </c>
      <c r="J75" s="80" t="s">
        <v>228</v>
      </c>
      <c r="K75" s="80" t="s">
        <v>228</v>
      </c>
      <c r="L75" s="81" t="s">
        <v>228</v>
      </c>
      <c r="M75" s="81" t="s">
        <v>228</v>
      </c>
      <c r="N75" s="80" t="s">
        <v>228</v>
      </c>
      <c r="O75" s="80" t="s">
        <v>228</v>
      </c>
      <c r="P75" s="80" t="s">
        <v>228</v>
      </c>
      <c r="Q75" s="80" t="s">
        <v>228</v>
      </c>
      <c r="R75" s="80" t="s">
        <v>228</v>
      </c>
      <c r="S75" s="80" t="s">
        <v>228</v>
      </c>
      <c r="T75" s="80" t="s">
        <v>228</v>
      </c>
      <c r="U75" s="81" t="s">
        <v>228</v>
      </c>
      <c r="V75" s="81" t="s">
        <v>228</v>
      </c>
      <c r="W75" s="81" t="s">
        <v>228</v>
      </c>
      <c r="X75" s="81" t="s">
        <v>228</v>
      </c>
      <c r="Y75" s="82"/>
      <c r="Z75" s="83" t="s">
        <v>228</v>
      </c>
    </row>
    <row r="76" spans="1:26" s="49" customFormat="1" ht="9" customHeight="1" x14ac:dyDescent="0.15">
      <c r="A76" s="60"/>
      <c r="B76" s="70"/>
      <c r="C76" s="69"/>
      <c r="D76" s="70"/>
      <c r="E76" s="70"/>
      <c r="F76" s="69"/>
      <c r="G76" s="69"/>
      <c r="H76" s="69"/>
      <c r="I76" s="84"/>
      <c r="J76" s="69"/>
      <c r="K76" s="69"/>
      <c r="L76" s="84"/>
      <c r="M76" s="84"/>
      <c r="N76" s="69"/>
      <c r="O76" s="69"/>
      <c r="P76" s="69"/>
      <c r="Q76" s="69"/>
      <c r="R76" s="69"/>
      <c r="S76" s="69"/>
      <c r="T76" s="69"/>
      <c r="U76" s="84"/>
      <c r="V76" s="84"/>
      <c r="W76" s="84"/>
      <c r="X76" s="84"/>
      <c r="Y76" s="85"/>
      <c r="Z76" s="86"/>
    </row>
    <row r="77" spans="1:26" s="49" customFormat="1" ht="12" customHeight="1" x14ac:dyDescent="0.15">
      <c r="A77" s="60" t="s">
        <v>229</v>
      </c>
      <c r="B77" s="70" t="s">
        <v>228</v>
      </c>
      <c r="C77" s="69" t="s">
        <v>228</v>
      </c>
      <c r="D77" s="70"/>
      <c r="E77" s="64">
        <v>2642</v>
      </c>
      <c r="F77" s="69" t="s">
        <v>228</v>
      </c>
      <c r="G77" s="69" t="s">
        <v>228</v>
      </c>
      <c r="H77" s="69" t="s">
        <v>228</v>
      </c>
      <c r="I77" s="84" t="s">
        <v>228</v>
      </c>
      <c r="J77" s="87" t="s">
        <v>228</v>
      </c>
      <c r="K77" s="87" t="s">
        <v>228</v>
      </c>
      <c r="L77" s="88" t="s">
        <v>228</v>
      </c>
      <c r="M77" s="88" t="s">
        <v>228</v>
      </c>
      <c r="N77" s="87" t="s">
        <v>228</v>
      </c>
      <c r="O77" s="87" t="s">
        <v>228</v>
      </c>
      <c r="P77" s="87" t="s">
        <v>228</v>
      </c>
      <c r="Q77" s="87" t="s">
        <v>228</v>
      </c>
      <c r="R77" s="87" t="s">
        <v>228</v>
      </c>
      <c r="S77" s="87" t="s">
        <v>228</v>
      </c>
      <c r="T77" s="87" t="s">
        <v>228</v>
      </c>
      <c r="U77" s="88" t="s">
        <v>228</v>
      </c>
      <c r="V77" s="88" t="s">
        <v>228</v>
      </c>
      <c r="W77" s="88" t="s">
        <v>228</v>
      </c>
      <c r="X77" s="88" t="s">
        <v>228</v>
      </c>
      <c r="Y77" s="89"/>
      <c r="Z77" s="86" t="s">
        <v>228</v>
      </c>
    </row>
    <row r="78" spans="1:26" s="49" customFormat="1" ht="12" customHeight="1" x14ac:dyDescent="0.15">
      <c r="A78" s="60" t="s">
        <v>230</v>
      </c>
      <c r="B78" s="70" t="s">
        <v>228</v>
      </c>
      <c r="C78" s="69" t="s">
        <v>228</v>
      </c>
      <c r="D78" s="70"/>
      <c r="E78" s="70">
        <v>560</v>
      </c>
      <c r="F78" s="69" t="s">
        <v>228</v>
      </c>
      <c r="G78" s="69" t="s">
        <v>228</v>
      </c>
      <c r="H78" s="69" t="s">
        <v>228</v>
      </c>
      <c r="I78" s="84" t="s">
        <v>228</v>
      </c>
      <c r="J78" s="87" t="s">
        <v>228</v>
      </c>
      <c r="K78" s="87" t="s">
        <v>228</v>
      </c>
      <c r="L78" s="88" t="s">
        <v>228</v>
      </c>
      <c r="M78" s="88" t="s">
        <v>228</v>
      </c>
      <c r="N78" s="87" t="s">
        <v>228</v>
      </c>
      <c r="O78" s="87" t="s">
        <v>228</v>
      </c>
      <c r="P78" s="87" t="s">
        <v>228</v>
      </c>
      <c r="Q78" s="87" t="s">
        <v>228</v>
      </c>
      <c r="R78" s="87" t="s">
        <v>228</v>
      </c>
      <c r="S78" s="87" t="s">
        <v>228</v>
      </c>
      <c r="T78" s="87" t="s">
        <v>228</v>
      </c>
      <c r="U78" s="88" t="s">
        <v>228</v>
      </c>
      <c r="V78" s="88" t="s">
        <v>228</v>
      </c>
      <c r="W78" s="88" t="s">
        <v>228</v>
      </c>
      <c r="X78" s="88" t="s">
        <v>228</v>
      </c>
      <c r="Y78" s="89"/>
      <c r="Z78" s="86" t="s">
        <v>228</v>
      </c>
    </row>
    <row r="79" spans="1:26" s="49" customFormat="1" ht="9" customHeight="1" x14ac:dyDescent="0.15">
      <c r="A79" s="60"/>
      <c r="B79" s="70"/>
      <c r="C79" s="69"/>
      <c r="D79" s="70"/>
      <c r="E79" s="70"/>
      <c r="F79" s="69"/>
      <c r="G79" s="69"/>
      <c r="H79" s="69"/>
      <c r="I79" s="84"/>
      <c r="J79" s="69"/>
      <c r="K79" s="69"/>
      <c r="L79" s="84"/>
      <c r="M79" s="84"/>
      <c r="N79" s="69"/>
      <c r="O79" s="69"/>
      <c r="P79" s="69"/>
      <c r="Q79" s="69"/>
      <c r="R79" s="69"/>
      <c r="S79" s="69"/>
      <c r="T79" s="69"/>
      <c r="U79" s="84"/>
      <c r="V79" s="84"/>
      <c r="W79" s="84"/>
      <c r="X79" s="84"/>
      <c r="Y79" s="85"/>
      <c r="Z79" s="86"/>
    </row>
    <row r="80" spans="1:26" s="49" customFormat="1" ht="12" customHeight="1" x14ac:dyDescent="0.15">
      <c r="A80" s="90" t="s">
        <v>231</v>
      </c>
      <c r="B80" s="91"/>
      <c r="C80" s="92"/>
      <c r="D80" s="91"/>
      <c r="E80" s="91"/>
      <c r="F80" s="93"/>
      <c r="G80" s="93"/>
      <c r="H80" s="93"/>
      <c r="I80" s="94"/>
      <c r="J80" s="93"/>
      <c r="K80" s="93"/>
      <c r="L80" s="94"/>
      <c r="M80" s="94"/>
      <c r="N80" s="93"/>
      <c r="O80" s="93"/>
      <c r="P80" s="93"/>
      <c r="Q80" s="93"/>
      <c r="R80" s="93"/>
      <c r="S80" s="93"/>
      <c r="T80" s="93"/>
      <c r="U80" s="94"/>
      <c r="V80" s="94"/>
      <c r="W80" s="94"/>
      <c r="X80" s="94"/>
      <c r="Y80" s="95"/>
      <c r="Z80" s="96"/>
    </row>
    <row r="81" spans="1:26" s="49" customFormat="1" ht="12" customHeight="1" x14ac:dyDescent="0.15">
      <c r="A81" s="60" t="s">
        <v>232</v>
      </c>
      <c r="B81" s="70" t="s">
        <v>233</v>
      </c>
      <c r="C81" s="62">
        <v>703</v>
      </c>
      <c r="D81" s="64"/>
      <c r="E81" s="64">
        <v>698</v>
      </c>
      <c r="F81" s="69" t="s">
        <v>228</v>
      </c>
      <c r="G81" s="69" t="s">
        <v>228</v>
      </c>
      <c r="H81" s="69" t="s">
        <v>228</v>
      </c>
      <c r="I81" s="84" t="s">
        <v>228</v>
      </c>
      <c r="J81" s="87" t="s">
        <v>228</v>
      </c>
      <c r="K81" s="87" t="s">
        <v>228</v>
      </c>
      <c r="L81" s="88" t="s">
        <v>228</v>
      </c>
      <c r="M81" s="88" t="s">
        <v>228</v>
      </c>
      <c r="N81" s="87" t="s">
        <v>228</v>
      </c>
      <c r="O81" s="87" t="s">
        <v>228</v>
      </c>
      <c r="P81" s="87" t="s">
        <v>228</v>
      </c>
      <c r="Q81" s="87" t="s">
        <v>228</v>
      </c>
      <c r="R81" s="87" t="s">
        <v>228</v>
      </c>
      <c r="S81" s="87" t="s">
        <v>228</v>
      </c>
      <c r="T81" s="87" t="s">
        <v>228</v>
      </c>
      <c r="U81" s="88" t="s">
        <v>228</v>
      </c>
      <c r="V81" s="88" t="s">
        <v>228</v>
      </c>
      <c r="W81" s="88" t="s">
        <v>228</v>
      </c>
      <c r="X81" s="88" t="s">
        <v>228</v>
      </c>
      <c r="Y81" s="89"/>
      <c r="Z81" s="86" t="s">
        <v>228</v>
      </c>
    </row>
    <row r="82" spans="1:26" s="49" customFormat="1" ht="12" customHeight="1" x14ac:dyDescent="0.15">
      <c r="A82" s="60" t="s">
        <v>234</v>
      </c>
      <c r="B82" s="70" t="s">
        <v>233</v>
      </c>
      <c r="C82" s="69">
        <v>1033</v>
      </c>
      <c r="D82" s="70"/>
      <c r="E82" s="70">
        <v>1406</v>
      </c>
      <c r="F82" s="69" t="s">
        <v>228</v>
      </c>
      <c r="G82" s="69" t="s">
        <v>228</v>
      </c>
      <c r="H82" s="69" t="s">
        <v>228</v>
      </c>
      <c r="I82" s="84" t="s">
        <v>228</v>
      </c>
      <c r="J82" s="87" t="s">
        <v>228</v>
      </c>
      <c r="K82" s="87" t="s">
        <v>228</v>
      </c>
      <c r="L82" s="88" t="s">
        <v>228</v>
      </c>
      <c r="M82" s="88" t="s">
        <v>228</v>
      </c>
      <c r="N82" s="87" t="s">
        <v>228</v>
      </c>
      <c r="O82" s="87" t="s">
        <v>228</v>
      </c>
      <c r="P82" s="87" t="s">
        <v>228</v>
      </c>
      <c r="Q82" s="87" t="s">
        <v>228</v>
      </c>
      <c r="R82" s="87" t="s">
        <v>228</v>
      </c>
      <c r="S82" s="87" t="s">
        <v>228</v>
      </c>
      <c r="T82" s="87" t="s">
        <v>228</v>
      </c>
      <c r="U82" s="88" t="s">
        <v>228</v>
      </c>
      <c r="V82" s="88" t="s">
        <v>228</v>
      </c>
      <c r="W82" s="88" t="s">
        <v>228</v>
      </c>
      <c r="X82" s="88" t="s">
        <v>228</v>
      </c>
      <c r="Y82" s="89"/>
      <c r="Z82" s="86" t="s">
        <v>228</v>
      </c>
    </row>
    <row r="83" spans="1:26" s="49" customFormat="1" ht="12" customHeight="1" x14ac:dyDescent="0.15">
      <c r="A83" s="60" t="s">
        <v>235</v>
      </c>
      <c r="B83" s="70" t="s">
        <v>233</v>
      </c>
      <c r="C83" s="62">
        <v>227</v>
      </c>
      <c r="D83" s="64"/>
      <c r="E83" s="64">
        <v>360</v>
      </c>
      <c r="F83" s="69" t="s">
        <v>228</v>
      </c>
      <c r="G83" s="69" t="s">
        <v>228</v>
      </c>
      <c r="H83" s="69" t="s">
        <v>228</v>
      </c>
      <c r="I83" s="84" t="s">
        <v>228</v>
      </c>
      <c r="J83" s="87" t="s">
        <v>228</v>
      </c>
      <c r="K83" s="87" t="s">
        <v>228</v>
      </c>
      <c r="L83" s="88" t="s">
        <v>228</v>
      </c>
      <c r="M83" s="88" t="s">
        <v>228</v>
      </c>
      <c r="N83" s="87" t="s">
        <v>228</v>
      </c>
      <c r="O83" s="87" t="s">
        <v>228</v>
      </c>
      <c r="P83" s="87" t="s">
        <v>228</v>
      </c>
      <c r="Q83" s="87" t="s">
        <v>228</v>
      </c>
      <c r="R83" s="87" t="s">
        <v>228</v>
      </c>
      <c r="S83" s="87" t="s">
        <v>228</v>
      </c>
      <c r="T83" s="87" t="s">
        <v>228</v>
      </c>
      <c r="U83" s="88" t="s">
        <v>228</v>
      </c>
      <c r="V83" s="88" t="s">
        <v>228</v>
      </c>
      <c r="W83" s="88" t="s">
        <v>228</v>
      </c>
      <c r="X83" s="88" t="s">
        <v>228</v>
      </c>
      <c r="Y83" s="89"/>
      <c r="Z83" s="86" t="s">
        <v>228</v>
      </c>
    </row>
    <row r="84" spans="1:26" s="49" customFormat="1" ht="12" customHeight="1" x14ac:dyDescent="0.15">
      <c r="A84" s="60" t="s">
        <v>236</v>
      </c>
      <c r="B84" s="70" t="s">
        <v>233</v>
      </c>
      <c r="C84" s="62">
        <v>29049</v>
      </c>
      <c r="D84" s="64"/>
      <c r="E84" s="64">
        <v>30856</v>
      </c>
      <c r="F84" s="69">
        <v>25514</v>
      </c>
      <c r="G84" s="69">
        <v>26231</v>
      </c>
      <c r="H84" s="69">
        <v>25720</v>
      </c>
      <c r="I84" s="84" t="s">
        <v>228</v>
      </c>
      <c r="J84" s="87" t="s">
        <v>228</v>
      </c>
      <c r="K84" s="87" t="s">
        <v>228</v>
      </c>
      <c r="L84" s="88" t="s">
        <v>228</v>
      </c>
      <c r="M84" s="88" t="s">
        <v>228</v>
      </c>
      <c r="N84" s="87" t="s">
        <v>228</v>
      </c>
      <c r="O84" s="87" t="s">
        <v>228</v>
      </c>
      <c r="P84" s="87" t="s">
        <v>228</v>
      </c>
      <c r="Q84" s="87" t="s">
        <v>228</v>
      </c>
      <c r="R84" s="87" t="s">
        <v>228</v>
      </c>
      <c r="S84" s="87" t="s">
        <v>228</v>
      </c>
      <c r="T84" s="87" t="s">
        <v>228</v>
      </c>
      <c r="U84" s="88" t="s">
        <v>228</v>
      </c>
      <c r="V84" s="88" t="s">
        <v>228</v>
      </c>
      <c r="W84" s="88" t="s">
        <v>228</v>
      </c>
      <c r="X84" s="88" t="s">
        <v>228</v>
      </c>
      <c r="Y84" s="89"/>
      <c r="Z84" s="86" t="s">
        <v>228</v>
      </c>
    </row>
    <row r="85" spans="1:26" s="49" customFormat="1" ht="12" customHeight="1" x14ac:dyDescent="0.15">
      <c r="A85" s="42" t="s">
        <v>237</v>
      </c>
      <c r="B85" s="45" t="s">
        <v>233</v>
      </c>
      <c r="C85" s="97">
        <v>1260</v>
      </c>
      <c r="D85" s="98"/>
      <c r="E85" s="98">
        <v>1060</v>
      </c>
      <c r="F85" s="99">
        <v>958</v>
      </c>
      <c r="G85" s="99">
        <v>1014</v>
      </c>
      <c r="H85" s="99">
        <v>1046</v>
      </c>
      <c r="I85" s="47">
        <v>897</v>
      </c>
      <c r="J85" s="87" t="s">
        <v>228</v>
      </c>
      <c r="K85" s="87" t="s">
        <v>228</v>
      </c>
      <c r="L85" s="100" t="s">
        <v>228</v>
      </c>
      <c r="M85" s="100" t="s">
        <v>228</v>
      </c>
      <c r="N85" s="87" t="s">
        <v>228</v>
      </c>
      <c r="O85" s="87" t="s">
        <v>228</v>
      </c>
      <c r="P85" s="87" t="s">
        <v>228</v>
      </c>
      <c r="Q85" s="87" t="s">
        <v>228</v>
      </c>
      <c r="R85" s="87" t="s">
        <v>228</v>
      </c>
      <c r="S85" s="87" t="s">
        <v>228</v>
      </c>
      <c r="T85" s="87" t="s">
        <v>228</v>
      </c>
      <c r="U85" s="100" t="s">
        <v>228</v>
      </c>
      <c r="V85" s="100" t="s">
        <v>228</v>
      </c>
      <c r="W85" s="100" t="s">
        <v>228</v>
      </c>
      <c r="X85" s="100" t="s">
        <v>228</v>
      </c>
      <c r="Y85" s="101"/>
      <c r="Z85" s="102" t="s">
        <v>228</v>
      </c>
    </row>
    <row r="86" spans="1:26" s="49" customFormat="1" ht="12" customHeight="1" x14ac:dyDescent="0.15">
      <c r="A86" s="132" t="s">
        <v>238</v>
      </c>
      <c r="B86" s="133"/>
      <c r="C86" s="133"/>
      <c r="D86" s="133"/>
      <c r="E86" s="133"/>
      <c r="F86" s="133"/>
      <c r="G86" s="134"/>
      <c r="H86" s="134"/>
      <c r="I86" s="134"/>
      <c r="J86" s="134"/>
      <c r="K86" s="134"/>
      <c r="L86" s="134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spans="1:26" s="49" customFormat="1" ht="12" customHeight="1" x14ac:dyDescent="0.15">
      <c r="A87" s="135" t="s">
        <v>239</v>
      </c>
      <c r="B87" s="136"/>
      <c r="C87" s="136"/>
      <c r="D87" s="136"/>
      <c r="E87" s="136"/>
      <c r="F87" s="136"/>
      <c r="G87" s="137"/>
      <c r="H87" s="137"/>
      <c r="I87" s="137"/>
      <c r="J87" s="137"/>
      <c r="K87" s="137"/>
      <c r="L87" s="137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spans="1:26" s="49" customFormat="1" ht="12" customHeight="1" x14ac:dyDescent="0.15">
      <c r="A88" s="138" t="s">
        <v>240</v>
      </c>
      <c r="B88" s="138"/>
      <c r="C88" s="138"/>
      <c r="D88" s="138"/>
      <c r="E88" s="138"/>
      <c r="F88" s="138"/>
      <c r="G88" s="137"/>
      <c r="H88" s="137"/>
      <c r="I88" s="137"/>
      <c r="J88" s="137"/>
      <c r="K88" s="137"/>
      <c r="L88" s="137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s="49" customFormat="1" ht="12.95" customHeight="1" x14ac:dyDescent="0.15">
      <c r="A89" s="138" t="s">
        <v>241</v>
      </c>
      <c r="B89" s="138"/>
      <c r="C89" s="138"/>
      <c r="D89" s="138"/>
      <c r="E89" s="138"/>
      <c r="F89" s="138"/>
      <c r="G89" s="137"/>
      <c r="H89" s="137"/>
      <c r="I89" s="137"/>
      <c r="J89" s="137"/>
      <c r="K89" s="137"/>
      <c r="L89" s="137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s="49" customFormat="1" ht="39" customHeight="1" x14ac:dyDescent="0.15">
      <c r="A90" s="138" t="s">
        <v>242</v>
      </c>
      <c r="B90" s="138"/>
      <c r="C90" s="138"/>
      <c r="D90" s="138"/>
      <c r="E90" s="138"/>
      <c r="F90" s="138"/>
      <c r="G90" s="139"/>
      <c r="H90" s="139"/>
      <c r="I90" s="137"/>
      <c r="J90" s="137"/>
      <c r="K90" s="137"/>
      <c r="L90" s="13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s="49" customFormat="1" ht="39" customHeight="1" x14ac:dyDescent="0.15">
      <c r="A91" s="138" t="s">
        <v>243</v>
      </c>
      <c r="B91" s="138"/>
      <c r="C91" s="138"/>
      <c r="D91" s="138"/>
      <c r="E91" s="138"/>
      <c r="F91" s="138"/>
      <c r="G91" s="139"/>
      <c r="H91" s="139"/>
      <c r="I91" s="137"/>
      <c r="J91" s="137"/>
      <c r="K91" s="137"/>
      <c r="L91" s="137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</sheetData>
  <mergeCells count="12">
    <mergeCell ref="A1:Z1"/>
    <mergeCell ref="A2:A3"/>
    <mergeCell ref="B2:I2"/>
    <mergeCell ref="J2:Z2"/>
    <mergeCell ref="C3:D3"/>
    <mergeCell ref="C4:D4"/>
    <mergeCell ref="A86:L86"/>
    <mergeCell ref="A87:L87"/>
    <mergeCell ref="A88:L88"/>
    <mergeCell ref="A89:L89"/>
    <mergeCell ref="A90:L90"/>
    <mergeCell ref="A91:L91"/>
  </mergeCells>
  <pageMargins left="0.55000000000000004" right="0.5" top="0.75" bottom="0.55000000000000004" header="0.4" footer="0.35"/>
  <pageSetup scale="50" fitToWidth="2" orientation="portrait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  <colBreaks count="1" manualBreakCount="1">
    <brk id="12" max="9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D8A5-3539-41FD-B468-BEC4E662226F}">
  <sheetPr syncVertical="1" syncRef="A1" transitionEvaluation="1"/>
  <dimension ref="A1:G51"/>
  <sheetViews>
    <sheetView showGridLines="0" zoomScaleNormal="100" workbookViewId="0"/>
  </sheetViews>
  <sheetFormatPr defaultColWidth="9.625" defaultRowHeight="12" customHeight="1" x14ac:dyDescent="0.25"/>
  <cols>
    <col min="1" max="1" width="9.625" style="41"/>
    <col min="2" max="2" width="14.875" style="41" bestFit="1" customWidth="1"/>
    <col min="3" max="3" width="10.75" style="41" bestFit="1" customWidth="1"/>
    <col min="4" max="7" width="10.875" style="41" customWidth="1"/>
    <col min="8" max="16384" width="9.625" style="41"/>
  </cols>
  <sheetData>
    <row r="1" spans="1:7" s="49" customFormat="1" ht="12" customHeight="1" x14ac:dyDescent="0.25">
      <c r="A1" s="109" t="s">
        <v>82</v>
      </c>
      <c r="B1" s="30" t="s">
        <v>81</v>
      </c>
      <c r="C1" s="31" t="s">
        <v>244</v>
      </c>
      <c r="D1" s="31" t="s">
        <v>245</v>
      </c>
      <c r="E1" s="31" t="s">
        <v>246</v>
      </c>
      <c r="F1" s="31" t="s">
        <v>247</v>
      </c>
      <c r="G1" s="31" t="s">
        <v>248</v>
      </c>
    </row>
    <row r="2" spans="1:7" s="49" customFormat="1" ht="12" customHeight="1" x14ac:dyDescent="0.15">
      <c r="A2" s="110">
        <v>1</v>
      </c>
      <c r="B2" s="36" t="s">
        <v>83</v>
      </c>
      <c r="C2" s="111">
        <v>37819</v>
      </c>
      <c r="D2" s="111">
        <v>43166</v>
      </c>
      <c r="E2" s="111">
        <v>44233</v>
      </c>
      <c r="F2" s="111">
        <v>44540</v>
      </c>
      <c r="G2" s="111">
        <v>45420</v>
      </c>
    </row>
    <row r="3" spans="1:7" s="49" customFormat="1" ht="12" customHeight="1" x14ac:dyDescent="0.15">
      <c r="A3" s="110">
        <f>A2+1</f>
        <v>2</v>
      </c>
      <c r="B3" s="36" t="s">
        <v>84</v>
      </c>
      <c r="C3" s="111">
        <v>6615</v>
      </c>
      <c r="D3" s="111">
        <v>8245</v>
      </c>
      <c r="E3" s="111">
        <v>7860</v>
      </c>
      <c r="F3" s="111">
        <v>7720</v>
      </c>
      <c r="G3" s="111">
        <v>7860</v>
      </c>
    </row>
    <row r="4" spans="1:7" s="49" customFormat="1" ht="12" customHeight="1" x14ac:dyDescent="0.15">
      <c r="A4" s="110">
        <f t="shared" ref="A4:A51" si="0">A3+1</f>
        <v>3</v>
      </c>
      <c r="B4" s="36" t="s">
        <v>85</v>
      </c>
      <c r="C4" s="111">
        <v>38304</v>
      </c>
      <c r="D4" s="111">
        <v>61145</v>
      </c>
      <c r="E4" s="111">
        <v>62208</v>
      </c>
      <c r="F4" s="111">
        <v>66700</v>
      </c>
      <c r="G4" s="111">
        <v>67200</v>
      </c>
    </row>
    <row r="5" spans="1:7" s="49" customFormat="1" ht="12" customHeight="1" x14ac:dyDescent="0.15">
      <c r="A5" s="110">
        <f t="shared" si="0"/>
        <v>4</v>
      </c>
      <c r="B5" s="36" t="s">
        <v>86</v>
      </c>
      <c r="C5" s="111">
        <v>27335</v>
      </c>
      <c r="D5" s="111">
        <v>28276</v>
      </c>
      <c r="E5" s="111">
        <v>28928</v>
      </c>
      <c r="F5" s="111">
        <v>29610</v>
      </c>
      <c r="G5" s="111">
        <v>30350</v>
      </c>
    </row>
    <row r="6" spans="1:7" s="49" customFormat="1" ht="12" customHeight="1" x14ac:dyDescent="0.15">
      <c r="A6" s="110">
        <f t="shared" si="0"/>
        <v>5</v>
      </c>
      <c r="B6" s="36" t="s">
        <v>87</v>
      </c>
      <c r="C6" s="111">
        <v>309866</v>
      </c>
      <c r="D6" s="111">
        <v>404987</v>
      </c>
      <c r="E6" s="111">
        <v>422125</v>
      </c>
      <c r="F6" s="111">
        <v>424080</v>
      </c>
      <c r="G6" s="111">
        <v>422830</v>
      </c>
    </row>
    <row r="7" spans="1:7" s="49" customFormat="1" ht="12" customHeight="1" x14ac:dyDescent="0.15">
      <c r="A7" s="110">
        <f t="shared" si="0"/>
        <v>6</v>
      </c>
      <c r="B7" s="36" t="s">
        <v>88</v>
      </c>
      <c r="C7" s="111">
        <v>38924</v>
      </c>
      <c r="D7" s="111">
        <v>49321</v>
      </c>
      <c r="E7" s="111">
        <v>50968</v>
      </c>
      <c r="F7" s="111">
        <v>51310</v>
      </c>
      <c r="G7" s="111">
        <v>51450</v>
      </c>
    </row>
    <row r="8" spans="1:7" s="49" customFormat="1" ht="12" customHeight="1" x14ac:dyDescent="0.15">
      <c r="A8" s="110">
        <f t="shared" si="0"/>
        <v>7</v>
      </c>
      <c r="B8" s="36" t="s">
        <v>89</v>
      </c>
      <c r="C8" s="111">
        <v>31562</v>
      </c>
      <c r="D8" s="111">
        <v>34495</v>
      </c>
      <c r="E8" s="111">
        <v>38722</v>
      </c>
      <c r="F8" s="111">
        <v>37860</v>
      </c>
      <c r="G8" s="111">
        <v>37160</v>
      </c>
    </row>
    <row r="9" spans="1:7" s="49" customFormat="1" ht="12" customHeight="1" x14ac:dyDescent="0.15">
      <c r="A9" s="110">
        <f t="shared" si="0"/>
        <v>8</v>
      </c>
      <c r="B9" s="36" t="s">
        <v>90</v>
      </c>
      <c r="C9" s="112">
        <v>6108</v>
      </c>
      <c r="D9" s="111">
        <v>8133</v>
      </c>
      <c r="E9" s="111">
        <v>8070</v>
      </c>
      <c r="F9" s="111">
        <v>8240</v>
      </c>
      <c r="G9" s="111">
        <v>8390</v>
      </c>
    </row>
    <row r="10" spans="1:7" s="49" customFormat="1" ht="12" customHeight="1" x14ac:dyDescent="0.15">
      <c r="A10" s="110">
        <f t="shared" si="0"/>
        <v>9</v>
      </c>
      <c r="B10" s="36" t="s">
        <v>91</v>
      </c>
      <c r="C10" s="111">
        <v>106708</v>
      </c>
      <c r="D10" s="111">
        <v>156130</v>
      </c>
      <c r="E10" s="111">
        <v>158029</v>
      </c>
      <c r="F10" s="111">
        <v>158440</v>
      </c>
      <c r="G10" s="111">
        <v>163740</v>
      </c>
    </row>
    <row r="11" spans="1:7" s="49" customFormat="1" ht="12" customHeight="1" x14ac:dyDescent="0.15">
      <c r="A11" s="110">
        <f t="shared" si="0"/>
        <v>10</v>
      </c>
      <c r="B11" s="36" t="s">
        <v>92</v>
      </c>
      <c r="C11" s="111">
        <v>62563</v>
      </c>
      <c r="D11" s="111">
        <v>91561</v>
      </c>
      <c r="E11" s="111">
        <v>92416</v>
      </c>
      <c r="F11" s="111">
        <v>94380</v>
      </c>
      <c r="G11" s="111">
        <v>97420</v>
      </c>
    </row>
    <row r="12" spans="1:7" s="49" customFormat="1" ht="12" customHeight="1" x14ac:dyDescent="0.15">
      <c r="A12" s="110">
        <f t="shared" si="0"/>
        <v>11</v>
      </c>
      <c r="B12" s="36" t="s">
        <v>93</v>
      </c>
      <c r="C12" s="111">
        <v>10437</v>
      </c>
      <c r="D12" s="111">
        <v>10998</v>
      </c>
      <c r="E12" s="111">
        <v>10790</v>
      </c>
      <c r="F12" s="111">
        <v>11050</v>
      </c>
      <c r="G12" s="111">
        <v>10760</v>
      </c>
    </row>
    <row r="13" spans="1:7" s="49" customFormat="1" ht="12" customHeight="1" x14ac:dyDescent="0.15">
      <c r="A13" s="110">
        <f t="shared" si="0"/>
        <v>12</v>
      </c>
      <c r="B13" s="36" t="s">
        <v>94</v>
      </c>
      <c r="C13" s="111">
        <v>16170</v>
      </c>
      <c r="D13" s="111">
        <v>17793</v>
      </c>
      <c r="E13" s="111">
        <v>17198</v>
      </c>
      <c r="F13" s="111">
        <v>19120</v>
      </c>
      <c r="G13" s="111">
        <v>18050</v>
      </c>
    </row>
    <row r="14" spans="1:7" s="49" customFormat="1" ht="12" customHeight="1" x14ac:dyDescent="0.15">
      <c r="A14" s="110">
        <f t="shared" si="0"/>
        <v>13</v>
      </c>
      <c r="B14" s="36" t="s">
        <v>95</v>
      </c>
      <c r="C14" s="111">
        <v>111835</v>
      </c>
      <c r="D14" s="111">
        <v>139035</v>
      </c>
      <c r="E14" s="111">
        <v>139228</v>
      </c>
      <c r="F14" s="111">
        <v>137640</v>
      </c>
      <c r="G14" s="111">
        <v>140520</v>
      </c>
    </row>
    <row r="15" spans="1:7" s="49" customFormat="1" ht="12" customHeight="1" x14ac:dyDescent="0.15">
      <c r="A15" s="110">
        <f t="shared" si="0"/>
        <v>14</v>
      </c>
      <c r="B15" s="36" t="s">
        <v>96</v>
      </c>
      <c r="C15" s="111">
        <v>57012</v>
      </c>
      <c r="D15" s="111">
        <v>64551</v>
      </c>
      <c r="E15" s="111">
        <v>66595</v>
      </c>
      <c r="F15" s="111">
        <v>67560</v>
      </c>
      <c r="G15" s="111">
        <v>66750</v>
      </c>
    </row>
    <row r="16" spans="1:7" s="49" customFormat="1" ht="12" customHeight="1" x14ac:dyDescent="0.15">
      <c r="A16" s="110">
        <f t="shared" si="0"/>
        <v>15</v>
      </c>
      <c r="B16" s="36" t="s">
        <v>97</v>
      </c>
      <c r="C16" s="111">
        <v>33926</v>
      </c>
      <c r="D16" s="111">
        <v>34462</v>
      </c>
      <c r="E16" s="111">
        <v>32548</v>
      </c>
      <c r="F16" s="111">
        <v>32590</v>
      </c>
      <c r="G16" s="111">
        <v>32450</v>
      </c>
    </row>
    <row r="17" spans="1:7" s="49" customFormat="1" ht="12" customHeight="1" x14ac:dyDescent="0.15">
      <c r="A17" s="110">
        <f t="shared" si="0"/>
        <v>16</v>
      </c>
      <c r="B17" s="36" t="s">
        <v>98</v>
      </c>
      <c r="C17" s="111">
        <v>29102</v>
      </c>
      <c r="D17" s="111">
        <v>31642</v>
      </c>
      <c r="E17" s="111">
        <v>31922</v>
      </c>
      <c r="F17" s="111">
        <v>32150</v>
      </c>
      <c r="G17" s="111">
        <v>31900</v>
      </c>
    </row>
    <row r="18" spans="1:7" s="49" customFormat="1" ht="12" customHeight="1" x14ac:dyDescent="0.15">
      <c r="A18" s="110">
        <f t="shared" si="0"/>
        <v>17</v>
      </c>
      <c r="B18" s="36" t="s">
        <v>99</v>
      </c>
      <c r="C18" s="111">
        <v>36830</v>
      </c>
      <c r="D18" s="111">
        <v>42664</v>
      </c>
      <c r="E18" s="111">
        <v>42888</v>
      </c>
      <c r="F18" s="111">
        <v>42400</v>
      </c>
      <c r="G18" s="111">
        <v>42530</v>
      </c>
    </row>
    <row r="19" spans="1:7" s="49" customFormat="1" ht="12" customHeight="1" x14ac:dyDescent="0.15">
      <c r="A19" s="110">
        <f t="shared" si="0"/>
        <v>18</v>
      </c>
      <c r="B19" s="36" t="s">
        <v>100</v>
      </c>
      <c r="C19" s="111">
        <v>38430</v>
      </c>
      <c r="D19" s="111">
        <v>36573</v>
      </c>
      <c r="E19" s="111">
        <v>37508</v>
      </c>
      <c r="F19" s="111">
        <v>38180</v>
      </c>
      <c r="G19" s="111">
        <v>37720</v>
      </c>
    </row>
    <row r="20" spans="1:7" s="49" customFormat="1" ht="12" customHeight="1" x14ac:dyDescent="0.15">
      <c r="A20" s="110">
        <f t="shared" si="0"/>
        <v>19</v>
      </c>
      <c r="B20" s="36" t="s">
        <v>101</v>
      </c>
      <c r="C20" s="111">
        <v>12211</v>
      </c>
      <c r="D20" s="111">
        <v>14069</v>
      </c>
      <c r="E20" s="111">
        <v>13170</v>
      </c>
      <c r="F20" s="111">
        <v>12730</v>
      </c>
      <c r="G20" s="111">
        <v>12560</v>
      </c>
    </row>
    <row r="21" spans="1:7" s="49" customFormat="1" ht="12" customHeight="1" x14ac:dyDescent="0.15">
      <c r="A21" s="110">
        <f t="shared" si="0"/>
        <v>20</v>
      </c>
      <c r="B21" s="36" t="s">
        <v>102</v>
      </c>
      <c r="C21" s="111">
        <v>47849</v>
      </c>
      <c r="D21" s="111">
        <v>59078</v>
      </c>
      <c r="E21" s="111">
        <v>58896</v>
      </c>
      <c r="F21" s="111">
        <v>58120</v>
      </c>
      <c r="G21" s="111">
        <v>57650</v>
      </c>
    </row>
    <row r="22" spans="1:7" s="49" customFormat="1" ht="12" customHeight="1" x14ac:dyDescent="0.15">
      <c r="A22" s="110">
        <f t="shared" si="0"/>
        <v>21</v>
      </c>
      <c r="B22" s="36" t="s">
        <v>103</v>
      </c>
      <c r="C22" s="111">
        <v>52950</v>
      </c>
      <c r="D22" s="111">
        <v>64462</v>
      </c>
      <c r="E22" s="111">
        <v>66360</v>
      </c>
      <c r="F22" s="111">
        <v>65200</v>
      </c>
      <c r="G22" s="111">
        <v>65790</v>
      </c>
    </row>
    <row r="23" spans="1:7" s="49" customFormat="1" ht="12" customHeight="1" x14ac:dyDescent="0.15">
      <c r="A23" s="110">
        <f t="shared" si="0"/>
        <v>22</v>
      </c>
      <c r="B23" s="36" t="s">
        <v>104</v>
      </c>
      <c r="C23" s="111">
        <v>97679</v>
      </c>
      <c r="D23" s="111">
        <v>110682</v>
      </c>
      <c r="E23" s="111">
        <v>104210</v>
      </c>
      <c r="F23" s="111">
        <v>102520</v>
      </c>
      <c r="G23" s="111">
        <v>102020</v>
      </c>
    </row>
    <row r="24" spans="1:7" s="49" customFormat="1" ht="12" customHeight="1" x14ac:dyDescent="0.15">
      <c r="A24" s="110">
        <f t="shared" si="0"/>
        <v>23</v>
      </c>
      <c r="B24" s="36" t="s">
        <v>105</v>
      </c>
      <c r="C24" s="111">
        <v>57372</v>
      </c>
      <c r="D24" s="111">
        <v>59667</v>
      </c>
      <c r="E24" s="111">
        <v>58255</v>
      </c>
      <c r="F24" s="111">
        <v>56370</v>
      </c>
      <c r="G24" s="111">
        <v>56800</v>
      </c>
    </row>
    <row r="25" spans="1:7" s="49" customFormat="1" ht="12" customHeight="1" x14ac:dyDescent="0.15">
      <c r="A25" s="110">
        <f t="shared" si="0"/>
        <v>24</v>
      </c>
      <c r="B25" s="36" t="s">
        <v>106</v>
      </c>
      <c r="C25" s="111">
        <v>24232</v>
      </c>
      <c r="D25" s="111">
        <v>25478</v>
      </c>
      <c r="E25" s="111">
        <v>26502</v>
      </c>
      <c r="F25" s="111">
        <v>26650</v>
      </c>
      <c r="G25" s="111">
        <v>26260</v>
      </c>
    </row>
    <row r="26" spans="1:7" s="49" customFormat="1" ht="12" customHeight="1" x14ac:dyDescent="0.15">
      <c r="A26" s="110">
        <f t="shared" si="0"/>
        <v>25</v>
      </c>
      <c r="B26" s="36" t="s">
        <v>107</v>
      </c>
      <c r="C26" s="111">
        <v>52848</v>
      </c>
      <c r="D26" s="111">
        <v>63994</v>
      </c>
      <c r="E26" s="111">
        <v>61407</v>
      </c>
      <c r="F26" s="111">
        <v>60900</v>
      </c>
      <c r="G26" s="111">
        <v>60590</v>
      </c>
    </row>
    <row r="27" spans="1:7" s="49" customFormat="1" ht="12" customHeight="1" x14ac:dyDescent="0.15">
      <c r="A27" s="110">
        <f t="shared" si="0"/>
        <v>26</v>
      </c>
      <c r="B27" s="36" t="s">
        <v>108</v>
      </c>
      <c r="C27" s="111">
        <v>10903</v>
      </c>
      <c r="D27" s="111">
        <v>10075</v>
      </c>
      <c r="E27" s="111">
        <v>9369</v>
      </c>
      <c r="F27" s="111">
        <v>9470</v>
      </c>
      <c r="G27" s="111">
        <v>9390</v>
      </c>
    </row>
    <row r="28" spans="1:7" s="49" customFormat="1" ht="12" customHeight="1" x14ac:dyDescent="0.15">
      <c r="A28" s="110">
        <f t="shared" si="0"/>
        <v>27</v>
      </c>
      <c r="B28" s="36" t="s">
        <v>109</v>
      </c>
      <c r="C28" s="111">
        <v>20149</v>
      </c>
      <c r="D28" s="111">
        <v>19370</v>
      </c>
      <c r="E28" s="111">
        <v>20442</v>
      </c>
      <c r="F28" s="111">
        <v>20580</v>
      </c>
      <c r="G28" s="111">
        <v>20650</v>
      </c>
    </row>
    <row r="29" spans="1:7" s="49" customFormat="1" ht="12" customHeight="1" x14ac:dyDescent="0.15">
      <c r="A29" s="110">
        <f t="shared" si="0"/>
        <v>28</v>
      </c>
      <c r="B29" s="36" t="s">
        <v>110</v>
      </c>
      <c r="C29" s="111">
        <v>14551</v>
      </c>
      <c r="D29" s="111">
        <v>20956</v>
      </c>
      <c r="E29" s="111">
        <v>23038</v>
      </c>
      <c r="F29" s="111">
        <v>22720</v>
      </c>
      <c r="G29" s="111">
        <v>23040</v>
      </c>
    </row>
    <row r="30" spans="1:7" s="49" customFormat="1" ht="12" customHeight="1" x14ac:dyDescent="0.15">
      <c r="A30" s="110">
        <f t="shared" si="0"/>
        <v>29</v>
      </c>
      <c r="B30" s="36" t="s">
        <v>111</v>
      </c>
      <c r="C30" s="111">
        <v>11829</v>
      </c>
      <c r="D30" s="111">
        <v>15034</v>
      </c>
      <c r="E30" s="111">
        <v>14262</v>
      </c>
      <c r="F30" s="111">
        <v>13790</v>
      </c>
      <c r="G30" s="111">
        <v>13520</v>
      </c>
    </row>
    <row r="31" spans="1:7" s="49" customFormat="1" ht="12" customHeight="1" x14ac:dyDescent="0.15">
      <c r="A31" s="110">
        <f t="shared" si="0"/>
        <v>30</v>
      </c>
      <c r="B31" s="36" t="s">
        <v>112</v>
      </c>
      <c r="C31" s="111">
        <v>74420</v>
      </c>
      <c r="D31" s="111">
        <v>96225</v>
      </c>
      <c r="E31" s="111">
        <v>96490</v>
      </c>
      <c r="F31" s="111">
        <v>95220</v>
      </c>
      <c r="G31" s="111">
        <v>95250</v>
      </c>
    </row>
    <row r="32" spans="1:7" s="49" customFormat="1" ht="12" customHeight="1" x14ac:dyDescent="0.15">
      <c r="A32" s="110">
        <f t="shared" si="0"/>
        <v>31</v>
      </c>
      <c r="B32" s="36" t="s">
        <v>113</v>
      </c>
      <c r="C32" s="111">
        <v>18031</v>
      </c>
      <c r="D32" s="111">
        <v>18595</v>
      </c>
      <c r="E32" s="111">
        <v>19232</v>
      </c>
      <c r="F32" s="111">
        <v>18590</v>
      </c>
      <c r="G32" s="111">
        <v>19530</v>
      </c>
    </row>
    <row r="33" spans="1:7" s="49" customFormat="1" ht="12" customHeight="1" x14ac:dyDescent="0.15">
      <c r="A33" s="110">
        <f t="shared" si="0"/>
        <v>32</v>
      </c>
      <c r="B33" s="36" t="s">
        <v>114</v>
      </c>
      <c r="C33" s="111">
        <v>141731</v>
      </c>
      <c r="D33" s="111">
        <v>183826</v>
      </c>
      <c r="E33" s="111">
        <v>180351</v>
      </c>
      <c r="F33" s="111">
        <v>178810</v>
      </c>
      <c r="G33" s="111">
        <v>179110</v>
      </c>
    </row>
    <row r="34" spans="1:7" s="49" customFormat="1" ht="12" customHeight="1" x14ac:dyDescent="0.15">
      <c r="A34" s="110">
        <f t="shared" si="0"/>
        <v>33</v>
      </c>
      <c r="B34" s="36" t="s">
        <v>115</v>
      </c>
      <c r="C34" s="111">
        <v>62140</v>
      </c>
      <c r="D34" s="111">
        <v>88704</v>
      </c>
      <c r="E34" s="111">
        <v>94339</v>
      </c>
      <c r="F34" s="111">
        <v>96210</v>
      </c>
      <c r="G34" s="111">
        <v>97020</v>
      </c>
    </row>
    <row r="35" spans="1:7" s="49" customFormat="1" ht="12" customHeight="1" x14ac:dyDescent="0.15">
      <c r="A35" s="110">
        <f t="shared" si="0"/>
        <v>34</v>
      </c>
      <c r="B35" s="36" t="s">
        <v>116</v>
      </c>
      <c r="C35" s="111">
        <v>8606</v>
      </c>
      <c r="D35" s="111">
        <v>7155</v>
      </c>
      <c r="E35" s="111">
        <v>6900</v>
      </c>
      <c r="F35" s="111">
        <v>6960</v>
      </c>
      <c r="G35" s="111">
        <v>7040</v>
      </c>
    </row>
    <row r="36" spans="1:7" s="49" customFormat="1" ht="12" customHeight="1" x14ac:dyDescent="0.15">
      <c r="A36" s="110">
        <f t="shared" si="0"/>
        <v>35</v>
      </c>
      <c r="B36" s="36" t="s">
        <v>117</v>
      </c>
      <c r="C36" s="111">
        <v>111668</v>
      </c>
      <c r="D36" s="111">
        <v>123437</v>
      </c>
      <c r="E36" s="111">
        <v>122491</v>
      </c>
      <c r="F36" s="111">
        <v>119520</v>
      </c>
      <c r="G36" s="111">
        <v>120940</v>
      </c>
    </row>
    <row r="37" spans="1:7" s="49" customFormat="1" ht="12" customHeight="1" x14ac:dyDescent="0.15">
      <c r="A37" s="110">
        <f t="shared" si="0"/>
        <v>36</v>
      </c>
      <c r="B37" s="36" t="s">
        <v>118</v>
      </c>
      <c r="C37" s="111">
        <v>37646</v>
      </c>
      <c r="D37" s="111">
        <v>38503</v>
      </c>
      <c r="E37" s="111">
        <v>37033</v>
      </c>
      <c r="F37" s="111">
        <v>37260</v>
      </c>
      <c r="G37" s="111">
        <v>38420</v>
      </c>
    </row>
    <row r="38" spans="1:7" s="49" customFormat="1" ht="12" customHeight="1" x14ac:dyDescent="0.15">
      <c r="A38" s="110">
        <f t="shared" si="0"/>
        <v>37</v>
      </c>
      <c r="B38" s="36" t="s">
        <v>119</v>
      </c>
      <c r="C38" s="111">
        <v>30151</v>
      </c>
      <c r="D38" s="111">
        <v>34671</v>
      </c>
      <c r="E38" s="111">
        <v>33899</v>
      </c>
      <c r="F38" s="111">
        <v>34440</v>
      </c>
      <c r="G38" s="111">
        <v>34800</v>
      </c>
    </row>
    <row r="39" spans="1:7" s="49" customFormat="1" ht="12" customHeight="1" x14ac:dyDescent="0.15">
      <c r="A39" s="110">
        <f t="shared" si="0"/>
        <v>38</v>
      </c>
      <c r="B39" s="36" t="s">
        <v>120</v>
      </c>
      <c r="C39" s="111">
        <v>113959</v>
      </c>
      <c r="D39" s="111">
        <v>131182</v>
      </c>
      <c r="E39" s="111">
        <v>129777</v>
      </c>
      <c r="F39" s="111">
        <v>127200</v>
      </c>
      <c r="G39" s="111">
        <v>123560</v>
      </c>
    </row>
    <row r="40" spans="1:7" s="49" customFormat="1" ht="12" customHeight="1" x14ac:dyDescent="0.15">
      <c r="A40" s="110">
        <f t="shared" si="0"/>
        <v>39</v>
      </c>
      <c r="B40" s="36" t="s">
        <v>121</v>
      </c>
      <c r="C40" s="111">
        <v>8477</v>
      </c>
      <c r="D40" s="111">
        <v>9908</v>
      </c>
      <c r="E40" s="111">
        <v>9579</v>
      </c>
      <c r="F40" s="111">
        <v>9730</v>
      </c>
      <c r="G40" s="111">
        <v>9900</v>
      </c>
    </row>
    <row r="41" spans="1:7" s="49" customFormat="1" ht="12" customHeight="1" x14ac:dyDescent="0.15">
      <c r="A41" s="110">
        <f t="shared" si="0"/>
        <v>40</v>
      </c>
      <c r="B41" s="36" t="s">
        <v>122</v>
      </c>
      <c r="C41" s="111">
        <v>31617</v>
      </c>
      <c r="D41" s="111">
        <v>40438</v>
      </c>
      <c r="E41" s="111">
        <v>42246</v>
      </c>
      <c r="F41" s="111">
        <v>41720</v>
      </c>
      <c r="G41" s="111">
        <v>42650</v>
      </c>
    </row>
    <row r="42" spans="1:7" s="49" customFormat="1" ht="12" customHeight="1" x14ac:dyDescent="0.15">
      <c r="A42" s="110">
        <f t="shared" si="0"/>
        <v>41</v>
      </c>
      <c r="B42" s="36" t="s">
        <v>123</v>
      </c>
      <c r="C42" s="111">
        <v>9278</v>
      </c>
      <c r="D42" s="111">
        <v>8162</v>
      </c>
      <c r="E42" s="111">
        <v>8239</v>
      </c>
      <c r="F42" s="111">
        <v>7960</v>
      </c>
      <c r="G42" s="111">
        <v>8140</v>
      </c>
    </row>
    <row r="43" spans="1:7" s="49" customFormat="1" ht="12" customHeight="1" x14ac:dyDescent="0.15">
      <c r="A43" s="110">
        <f t="shared" si="0"/>
        <v>42</v>
      </c>
      <c r="B43" s="36" t="s">
        <v>124</v>
      </c>
      <c r="C43" s="111">
        <v>41568</v>
      </c>
      <c r="D43" s="111">
        <v>62408</v>
      </c>
      <c r="E43" s="111">
        <v>61323</v>
      </c>
      <c r="F43" s="111">
        <v>60970</v>
      </c>
      <c r="G43" s="111">
        <v>62010</v>
      </c>
    </row>
    <row r="44" spans="1:7" s="49" customFormat="1" ht="12" customHeight="1" x14ac:dyDescent="0.15">
      <c r="A44" s="110">
        <f t="shared" si="0"/>
        <v>43</v>
      </c>
      <c r="B44" s="36" t="s">
        <v>125</v>
      </c>
      <c r="C44" s="111">
        <v>212925</v>
      </c>
      <c r="D44" s="111">
        <v>280894</v>
      </c>
      <c r="E44" s="111">
        <v>301390</v>
      </c>
      <c r="F44" s="111">
        <v>304360</v>
      </c>
      <c r="G44" s="111">
        <v>309280</v>
      </c>
    </row>
    <row r="45" spans="1:7" s="49" customFormat="1" ht="12" customHeight="1" x14ac:dyDescent="0.15">
      <c r="A45" s="110">
        <f t="shared" si="0"/>
        <v>44</v>
      </c>
      <c r="B45" s="36" t="s">
        <v>126</v>
      </c>
      <c r="C45" s="111">
        <v>32501</v>
      </c>
      <c r="D45" s="111">
        <v>31481</v>
      </c>
      <c r="E45" s="111">
        <v>33186</v>
      </c>
      <c r="F45" s="111">
        <v>33400</v>
      </c>
      <c r="G45" s="111">
        <v>34070</v>
      </c>
    </row>
    <row r="46" spans="1:7" s="49" customFormat="1" ht="12" customHeight="1" x14ac:dyDescent="0.15">
      <c r="A46" s="110">
        <f t="shared" si="0"/>
        <v>45</v>
      </c>
      <c r="B46" s="36" t="s">
        <v>127</v>
      </c>
      <c r="C46" s="111">
        <v>6675</v>
      </c>
      <c r="D46" s="111">
        <v>7199</v>
      </c>
      <c r="E46" s="111">
        <v>6491</v>
      </c>
      <c r="F46" s="111">
        <v>6360</v>
      </c>
      <c r="G46" s="111">
        <v>6240</v>
      </c>
    </row>
    <row r="47" spans="1:7" s="49" customFormat="1" ht="12" customHeight="1" x14ac:dyDescent="0.15">
      <c r="A47" s="110">
        <f t="shared" si="0"/>
        <v>46</v>
      </c>
      <c r="B47" s="36" t="s">
        <v>128</v>
      </c>
      <c r="C47" s="111">
        <v>65596</v>
      </c>
      <c r="D47" s="111">
        <v>81511</v>
      </c>
      <c r="E47" s="111">
        <v>83279</v>
      </c>
      <c r="F47" s="111">
        <v>83100</v>
      </c>
      <c r="G47" s="111">
        <v>82680</v>
      </c>
    </row>
    <row r="48" spans="1:7" s="49" customFormat="1" ht="12" customHeight="1" x14ac:dyDescent="0.15">
      <c r="A48" s="110">
        <f t="shared" si="0"/>
        <v>47</v>
      </c>
      <c r="B48" s="36" t="s">
        <v>129</v>
      </c>
      <c r="C48" s="111">
        <v>57597</v>
      </c>
      <c r="D48" s="111">
        <v>66046</v>
      </c>
      <c r="E48" s="111">
        <v>66066</v>
      </c>
      <c r="F48" s="111">
        <v>66240</v>
      </c>
      <c r="G48" s="111">
        <v>68200</v>
      </c>
    </row>
    <row r="49" spans="1:7" s="49" customFormat="1" ht="12" customHeight="1" x14ac:dyDescent="0.15">
      <c r="A49" s="110">
        <f t="shared" si="0"/>
        <v>48</v>
      </c>
      <c r="B49" s="36" t="s">
        <v>130</v>
      </c>
      <c r="C49" s="111">
        <v>19437</v>
      </c>
      <c r="D49" s="111">
        <v>17651</v>
      </c>
      <c r="E49" s="111">
        <v>17924</v>
      </c>
      <c r="F49" s="111">
        <v>17510</v>
      </c>
      <c r="G49" s="111">
        <v>17460</v>
      </c>
    </row>
    <row r="50" spans="1:7" s="49" customFormat="1" ht="12" customHeight="1" x14ac:dyDescent="0.15">
      <c r="A50" s="110">
        <f t="shared" si="0"/>
        <v>49</v>
      </c>
      <c r="B50" s="36" t="s">
        <v>131</v>
      </c>
      <c r="C50" s="111">
        <v>58545</v>
      </c>
      <c r="D50" s="111">
        <v>64687</v>
      </c>
      <c r="E50" s="111">
        <v>61425</v>
      </c>
      <c r="F50" s="111">
        <v>60810</v>
      </c>
      <c r="G50" s="111">
        <v>60460</v>
      </c>
    </row>
    <row r="51" spans="1:7" s="49" customFormat="1" ht="12" customHeight="1" x14ac:dyDescent="0.15">
      <c r="A51" s="110">
        <f t="shared" si="0"/>
        <v>50</v>
      </c>
      <c r="B51" s="36" t="s">
        <v>132</v>
      </c>
      <c r="C51" s="111">
        <v>6462</v>
      </c>
      <c r="D51" s="111">
        <v>5695</v>
      </c>
      <c r="E51" s="111">
        <v>5489</v>
      </c>
      <c r="F51" s="111">
        <v>5590</v>
      </c>
      <c r="G51" s="111">
        <v>5550</v>
      </c>
    </row>
  </sheetData>
  <pageMargins left="0.55000000000000004" right="0.5" top="0.75" bottom="0.55000000000000004" header="0.4" footer="0.35"/>
  <pageSetup scale="50" fitToWidth="2" orientation="portrait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Digest 2017 Table 305.20</vt:lpstr>
      <vt:lpstr>First-time</vt:lpstr>
      <vt:lpstr>Digest 2018 Table 219.20</vt:lpstr>
      <vt:lpstr>HSGrad</vt:lpstr>
      <vt:lpstr>'Digest 2017 Table 305.20'!Print_Area</vt:lpstr>
      <vt:lpstr>'Digest 2018 Table 219.20'!Print_Area</vt:lpstr>
      <vt:lpstr>'First-time'!Print_Area</vt:lpstr>
      <vt:lpstr>HSGrad!Print_Area</vt:lpstr>
      <vt:lpstr>'Digest 2017 Table 305.20'!Print_Area_MI</vt:lpstr>
      <vt:lpstr>'Digest 2018 Table 219.20'!Print_Area_MI</vt:lpstr>
      <vt:lpstr>'First-time'!Print_Area_MI</vt:lpstr>
      <vt:lpstr>HSGrad!Print_Area_MI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Wyatt</dc:creator>
  <cp:lastModifiedBy>Marvin Titus</cp:lastModifiedBy>
  <dcterms:created xsi:type="dcterms:W3CDTF">2018-04-28T19:48:17Z</dcterms:created>
  <dcterms:modified xsi:type="dcterms:W3CDTF">2025-11-06T19:50:36Z</dcterms:modified>
</cp:coreProperties>
</file>